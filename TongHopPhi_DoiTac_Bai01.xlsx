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5B3244FB-A344-4256-91DA-44D4F4515AA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ổng hợp phí" sheetId="1" r:id="rId1"/>
    <sheet name="Giao dịch" sheetId="2" r:id="rId2"/>
    <sheet name="Người dùng" sheetId="3" r:id="rId3"/>
    <sheet name="Ghi chú" sheetId="4" r:id="rId4"/>
  </sheets>
  <definedNames>
    <definedName name="_xlnm._FilterDatabase" localSheetId="1" hidden="1">'Giao dịch'!$A$1:$F$21</definedName>
    <definedName name="_xlnm._FilterDatabase" localSheetId="0" hidden="1">'Tổng hợp phí'!$A$1:$I$11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H12" i="1"/>
  <c r="B5" i="4" s="1"/>
  <c r="F12" i="1"/>
  <c r="E12" i="1"/>
  <c r="B2" i="4" s="1"/>
  <c r="D12" i="1"/>
  <c r="B3" i="4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I12" i="1" l="1"/>
  <c r="B4" i="4" s="1"/>
</calcChain>
</file>

<file path=xl/sharedStrings.xml><?xml version="1.0" encoding="utf-8"?>
<sst xmlns="http://schemas.openxmlformats.org/spreadsheetml/2006/main" count="132" uniqueCount="92">
  <si>
    <t>STT</t>
  </si>
  <si>
    <t>Ngân hàng đối tác</t>
  </si>
  <si>
    <t>Mã đối tác</t>
  </si>
  <si>
    <t>Số giao dịch (thành công)</t>
  </si>
  <si>
    <t>Doanh số (VND)</t>
  </si>
  <si>
    <t>Phí cố định (VND)</t>
  </si>
  <si>
    <t>Tỷ lệ phí (%)</t>
  </si>
  <si>
    <t>Phí biến đổi (VND)</t>
  </si>
  <si>
    <t>Tổng phí (VND)</t>
  </si>
  <si>
    <t>Vietcombank</t>
  </si>
  <si>
    <t>VCB</t>
  </si>
  <si>
    <t>BIDV</t>
  </si>
  <si>
    <t>VietinBank</t>
  </si>
  <si>
    <t>CTG</t>
  </si>
  <si>
    <t>Techcombank</t>
  </si>
  <si>
    <t>TCB</t>
  </si>
  <si>
    <t>MB Bank</t>
  </si>
  <si>
    <t>MBB</t>
  </si>
  <si>
    <t>ACB</t>
  </si>
  <si>
    <t>VPBank</t>
  </si>
  <si>
    <t>VPB</t>
  </si>
  <si>
    <t>TPBank</t>
  </si>
  <si>
    <t>TPB</t>
  </si>
  <si>
    <t>OCB</t>
  </si>
  <si>
    <t>SHB</t>
  </si>
  <si>
    <t>TỔNG CỘNG</t>
  </si>
  <si>
    <t>Mã GD (gốc)</t>
  </si>
  <si>
    <t>Mã GD (đã TRIM)</t>
  </si>
  <si>
    <t>Tên người dùng</t>
  </si>
  <si>
    <t>Mã ngân hàng</t>
  </si>
  <si>
    <t>Ngày GD</t>
  </si>
  <si>
    <t>Số tiền (VND)</t>
  </si>
  <si>
    <t>GD2405001</t>
  </si>
  <si>
    <t>GD2405002</t>
  </si>
  <si>
    <t xml:space="preserve">  GD2405003 </t>
  </si>
  <si>
    <t>GD2405004</t>
  </si>
  <si>
    <t>GD2405005</t>
  </si>
  <si>
    <t xml:space="preserve"> GD2405006 </t>
  </si>
  <si>
    <t>GD2405007</t>
  </si>
  <si>
    <t>GD2405008</t>
  </si>
  <si>
    <t xml:space="preserve">   GD2405009 </t>
  </si>
  <si>
    <t>GD2405010</t>
  </si>
  <si>
    <t>GD2405011</t>
  </si>
  <si>
    <t xml:space="preserve"> GD2405012 </t>
  </si>
  <si>
    <t>GD2405013</t>
  </si>
  <si>
    <t>GD2405014</t>
  </si>
  <si>
    <t xml:space="preserve">  GD2405015 </t>
  </si>
  <si>
    <t>GD2405016</t>
  </si>
  <si>
    <t>GD2405017</t>
  </si>
  <si>
    <t xml:space="preserve"> GD2405018 </t>
  </si>
  <si>
    <t>GD2405019</t>
  </si>
  <si>
    <t>GD2405020</t>
  </si>
  <si>
    <t>Mã GD</t>
  </si>
  <si>
    <t>Nguyễn Minh Anh</t>
  </si>
  <si>
    <t>Trần Quốc Bảo</t>
  </si>
  <si>
    <t>GD2405003</t>
  </si>
  <si>
    <t>Lê Thu Hà</t>
  </si>
  <si>
    <t>Phạm Đức Huy</t>
  </si>
  <si>
    <t>Hoàng Gia Linh</t>
  </si>
  <si>
    <t>GD2405006</t>
  </si>
  <si>
    <t>Vũ Thanh Tùng</t>
  </si>
  <si>
    <t>Đặng Khánh Vy</t>
  </si>
  <si>
    <t>Bùi Hải Nam</t>
  </si>
  <si>
    <t>GD2405009</t>
  </si>
  <si>
    <t>Đỗ Ngọc Mai</t>
  </si>
  <si>
    <t>Ngô Tuấn Kiệt</t>
  </si>
  <si>
    <t>Dương Bảo Châu</t>
  </si>
  <si>
    <t>GD2405012</t>
  </si>
  <si>
    <t>Lý Hoàng Phúc</t>
  </si>
  <si>
    <t>Phan Thảo Nguyên</t>
  </si>
  <si>
    <t>Võ Minh Quân</t>
  </si>
  <si>
    <t>GD2405015</t>
  </si>
  <si>
    <t>Trương Diệu Linh</t>
  </si>
  <si>
    <t>Đinh Công Danh</t>
  </si>
  <si>
    <t>Mai Phương Thảo</t>
  </si>
  <si>
    <t>GD2405018</t>
  </si>
  <si>
    <t>Hồ Anh Dũng</t>
  </si>
  <si>
    <t>Lâm Yến Nhi</t>
  </si>
  <si>
    <t>Tạ Quang Vinh</t>
  </si>
  <si>
    <t>Chỉ tiêu</t>
  </si>
  <si>
    <t>Giá trị</t>
  </si>
  <si>
    <t>Tổng doanh số (VND)</t>
  </si>
  <si>
    <t>Tổng số giao dịch</t>
  </si>
  <si>
    <t>Tổng phí đối tác (VND)</t>
  </si>
  <si>
    <t>Tỷ lệ phí biến đổi bình quân</t>
  </si>
  <si>
    <t>Công thức phí</t>
  </si>
  <si>
    <t>Tổng phí = Phí cố định + (Doanh số × Tỷ lệ phí)</t>
  </si>
  <si>
    <t>Chữ xanh</t>
  </si>
  <si>
    <t>Số liệu nhập tay, lấy từ báo cáo đối tác tháng 05/2024 (giả định cho bài tập)</t>
  </si>
  <si>
    <t>Sheet Giao dịch</t>
  </si>
  <si>
    <t>20 dòng mẫu để minh họa TRIM và VLOOKUP, không cộng vào bảng tổng hợp</t>
  </si>
  <si>
    <t>Một số dòng cố ý thừa khoảng trắng đầu và cuối, cột B dùng TRIM để làm sạch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</si>
</sst>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7B34"/>
        <bgColor rgb="FF008080"/>
      </patternFill>
    </fill>
    <fill>
      <patternFill patternType="solid">
        <fgColor rgb="FFE2F0D9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3" fillId="0" borderId="1" xfId="0" applyNumberFormat="1" applyFont="1" applyBorder="1"/>
    <xf numFmtId="10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3" fontId="4" fillId="3" borderId="1" xfId="0" applyNumberFormat="1" applyFont="1" applyFill="1" applyBorder="1"/>
    <xf numFmtId="10" fontId="4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pane ySplit="1" topLeftCell="A2" activePane="bottomLeft" state="frozen"/>
      <selection pane="bottomLeft" activeCell="F14" sqref="F14"/>
    </sheetView>
  </sheetViews>
  <sheetFormatPr defaultColWidth="8.6640625" defaultRowHeight="14.4" x14ac:dyDescent="0.3"/>
  <cols>
    <col min="1" max="1" width="6" customWidth="1"/>
    <col min="2" max="2" width="22" customWidth="1"/>
    <col min="3" max="3" width="12" customWidth="1"/>
    <col min="4" max="4" width="16" customWidth="1"/>
    <col min="5" max="5" width="20" customWidth="1"/>
    <col min="6" max="6" width="18" customWidth="1"/>
    <col min="7" max="7" width="14" customWidth="1"/>
    <col min="8" max="9" width="20" customWidth="1"/>
  </cols>
  <sheetData>
    <row r="1" spans="1:9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9</v>
      </c>
      <c r="C2" s="2" t="s">
        <v>10</v>
      </c>
      <c r="D2" s="4">
        <v>128345</v>
      </c>
      <c r="E2" s="4">
        <v>25364580000</v>
      </c>
      <c r="F2" s="4">
        <v>1000000</v>
      </c>
      <c r="G2" s="5">
        <v>8.0000000000000004E-4</v>
      </c>
      <c r="H2" s="6">
        <f t="shared" ref="H2:H11" si="0">E2*G2</f>
        <v>20291664</v>
      </c>
      <c r="I2" s="6">
        <f t="shared" ref="I2:I11" si="1">F2+H2</f>
        <v>21291664</v>
      </c>
    </row>
    <row r="3" spans="1:9" x14ac:dyDescent="0.3">
      <c r="A3" s="2">
        <v>2</v>
      </c>
      <c r="B3" s="3" t="s">
        <v>11</v>
      </c>
      <c r="C3" s="2" t="s">
        <v>11</v>
      </c>
      <c r="D3" s="4">
        <v>96732</v>
      </c>
      <c r="E3" s="4">
        <v>18245760000</v>
      </c>
      <c r="F3" s="4">
        <v>1000000</v>
      </c>
      <c r="G3" s="5">
        <v>8.0000000000000004E-4</v>
      </c>
      <c r="H3" s="6">
        <f t="shared" si="0"/>
        <v>14596608</v>
      </c>
      <c r="I3" s="6">
        <f t="shared" si="1"/>
        <v>15596608</v>
      </c>
    </row>
    <row r="4" spans="1:9" x14ac:dyDescent="0.3">
      <c r="A4" s="2">
        <v>3</v>
      </c>
      <c r="B4" s="3" t="s">
        <v>12</v>
      </c>
      <c r="C4" s="2" t="s">
        <v>13</v>
      </c>
      <c r="D4" s="4">
        <v>87531</v>
      </c>
      <c r="E4" s="4">
        <v>16834210000</v>
      </c>
      <c r="F4" s="4">
        <v>1000000</v>
      </c>
      <c r="G4" s="5">
        <v>6.9999999999999999E-4</v>
      </c>
      <c r="H4" s="6">
        <f t="shared" si="0"/>
        <v>11783947</v>
      </c>
      <c r="I4" s="6">
        <f t="shared" si="1"/>
        <v>12783947</v>
      </c>
    </row>
    <row r="5" spans="1:9" x14ac:dyDescent="0.3">
      <c r="A5" s="2">
        <v>4</v>
      </c>
      <c r="B5" s="3" t="s">
        <v>14</v>
      </c>
      <c r="C5" s="2" t="s">
        <v>15</v>
      </c>
      <c r="D5" s="4">
        <v>74113</v>
      </c>
      <c r="E5" s="4">
        <v>14102330000</v>
      </c>
      <c r="F5" s="4">
        <v>1000000</v>
      </c>
      <c r="G5" s="5">
        <v>6.9999999999999999E-4</v>
      </c>
      <c r="H5" s="6">
        <f t="shared" si="0"/>
        <v>9871631</v>
      </c>
      <c r="I5" s="6">
        <f t="shared" si="1"/>
        <v>10871631</v>
      </c>
    </row>
    <row r="6" spans="1:9" x14ac:dyDescent="0.3">
      <c r="A6" s="2">
        <v>5</v>
      </c>
      <c r="B6" s="3" t="s">
        <v>16</v>
      </c>
      <c r="C6" s="2" t="s">
        <v>17</v>
      </c>
      <c r="D6" s="4">
        <v>63921</v>
      </c>
      <c r="E6" s="4">
        <v>12009880000</v>
      </c>
      <c r="F6" s="4">
        <v>1000000</v>
      </c>
      <c r="G6" s="5">
        <v>8.0000000000000004E-4</v>
      </c>
      <c r="H6" s="6">
        <f t="shared" si="0"/>
        <v>9607904</v>
      </c>
      <c r="I6" s="6">
        <f t="shared" si="1"/>
        <v>10607904</v>
      </c>
    </row>
    <row r="7" spans="1:9" x14ac:dyDescent="0.3">
      <c r="A7" s="2">
        <v>6</v>
      </c>
      <c r="B7" s="3" t="s">
        <v>18</v>
      </c>
      <c r="C7" s="2" t="s">
        <v>18</v>
      </c>
      <c r="D7" s="4">
        <v>52448</v>
      </c>
      <c r="E7" s="4">
        <v>9455230000</v>
      </c>
      <c r="F7" s="4">
        <v>1000000</v>
      </c>
      <c r="G7" s="5">
        <v>8.0000000000000004E-4</v>
      </c>
      <c r="H7" s="6">
        <f t="shared" si="0"/>
        <v>7564184</v>
      </c>
      <c r="I7" s="6">
        <f t="shared" si="1"/>
        <v>8564184</v>
      </c>
    </row>
    <row r="8" spans="1:9" x14ac:dyDescent="0.3">
      <c r="A8" s="2">
        <v>7</v>
      </c>
      <c r="B8" s="3" t="s">
        <v>19</v>
      </c>
      <c r="C8" s="2" t="s">
        <v>20</v>
      </c>
      <c r="D8" s="4">
        <v>49302</v>
      </c>
      <c r="E8" s="4">
        <v>8921450000</v>
      </c>
      <c r="F8" s="4">
        <v>1000000</v>
      </c>
      <c r="G8" s="5">
        <v>8.0000000000000004E-4</v>
      </c>
      <c r="H8" s="6">
        <f t="shared" si="0"/>
        <v>7137160</v>
      </c>
      <c r="I8" s="6">
        <f t="shared" si="1"/>
        <v>8137160</v>
      </c>
    </row>
    <row r="9" spans="1:9" x14ac:dyDescent="0.3">
      <c r="A9" s="2">
        <v>8</v>
      </c>
      <c r="B9" s="3" t="s">
        <v>21</v>
      </c>
      <c r="C9" s="2" t="s">
        <v>22</v>
      </c>
      <c r="D9" s="4">
        <v>38654</v>
      </c>
      <c r="E9" s="4">
        <v>6784120000</v>
      </c>
      <c r="F9" s="4">
        <v>1000000</v>
      </c>
      <c r="G9" s="5">
        <v>8.0000000000000004E-4</v>
      </c>
      <c r="H9" s="6">
        <f t="shared" si="0"/>
        <v>5427296</v>
      </c>
      <c r="I9" s="6">
        <f t="shared" si="1"/>
        <v>6427296</v>
      </c>
    </row>
    <row r="10" spans="1:9" x14ac:dyDescent="0.3">
      <c r="A10" s="2">
        <v>9</v>
      </c>
      <c r="B10" s="3" t="s">
        <v>23</v>
      </c>
      <c r="C10" s="2" t="s">
        <v>23</v>
      </c>
      <c r="D10" s="4">
        <v>27832</v>
      </c>
      <c r="E10" s="4">
        <v>4982630000</v>
      </c>
      <c r="F10" s="4">
        <v>1000000</v>
      </c>
      <c r="G10" s="5">
        <v>8.0000000000000004E-4</v>
      </c>
      <c r="H10" s="6">
        <f t="shared" si="0"/>
        <v>3986104</v>
      </c>
      <c r="I10" s="6">
        <f t="shared" si="1"/>
        <v>4986104</v>
      </c>
    </row>
    <row r="11" spans="1:9" x14ac:dyDescent="0.3">
      <c r="A11" s="2">
        <v>10</v>
      </c>
      <c r="B11" s="3" t="s">
        <v>24</v>
      </c>
      <c r="C11" s="2" t="s">
        <v>24</v>
      </c>
      <c r="D11" s="4">
        <v>22145</v>
      </c>
      <c r="E11" s="4">
        <v>3765230000</v>
      </c>
      <c r="F11" s="4">
        <v>1000000</v>
      </c>
      <c r="G11" s="5">
        <v>8.0000000000000004E-4</v>
      </c>
      <c r="H11" s="6">
        <f t="shared" si="0"/>
        <v>3012184</v>
      </c>
      <c r="I11" s="6">
        <f t="shared" si="1"/>
        <v>4012184</v>
      </c>
    </row>
    <row r="12" spans="1:9" x14ac:dyDescent="0.3">
      <c r="A12" s="7"/>
      <c r="B12" s="8" t="s">
        <v>25</v>
      </c>
      <c r="C12" s="7"/>
      <c r="D12" s="9">
        <f>SUM(D2:D11)</f>
        <v>641023</v>
      </c>
      <c r="E12" s="9">
        <f>SUM(E2:E11)</f>
        <v>120465420000</v>
      </c>
      <c r="F12" s="9">
        <f>SUM(F2:F11)</f>
        <v>10000000</v>
      </c>
      <c r="G12" s="10"/>
      <c r="H12" s="9">
        <f>SUM(H2:H11)</f>
        <v>93278682</v>
      </c>
      <c r="I12" s="9">
        <f>SUM(I2:I11)</f>
        <v>103278682</v>
      </c>
    </row>
  </sheetData>
  <autoFilter ref="A1:I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8" customWidth="1"/>
    <col min="3" max="3" width="24" customWidth="1"/>
    <col min="4" max="5" width="14" customWidth="1"/>
    <col min="6" max="6" width="16" customWidth="1"/>
  </cols>
  <sheetData>
    <row r="1" spans="1:6" ht="33.75" customHeight="1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s="11" t="s">
        <v>32</v>
      </c>
      <c r="B2" s="3" t="str">
        <f t="shared" ref="B2:B21" si="0">TRIM(A2)</f>
        <v>GD2405001</v>
      </c>
      <c r="C2" s="3" t="str">
        <f>VLOOKUP(B2,'Người dùng'!$A$2:$B$21,2,FALSE())</f>
        <v>Nguyễn Minh Anh</v>
      </c>
      <c r="D2" s="12" t="s">
        <v>10</v>
      </c>
      <c r="E2" s="13">
        <v>45413</v>
      </c>
      <c r="F2" s="4">
        <v>150000</v>
      </c>
    </row>
    <row r="3" spans="1:6" x14ac:dyDescent="0.3">
      <c r="A3" s="11" t="s">
        <v>33</v>
      </c>
      <c r="B3" s="3" t="str">
        <f t="shared" si="0"/>
        <v>GD2405002</v>
      </c>
      <c r="C3" s="3" t="str">
        <f>VLOOKUP(B3,'Người dùng'!$A$2:$B$21,2,FALSE())</f>
        <v>Trần Quốc Bảo</v>
      </c>
      <c r="D3" s="12" t="s">
        <v>11</v>
      </c>
      <c r="E3" s="13">
        <v>45414</v>
      </c>
      <c r="F3" s="4">
        <v>320000</v>
      </c>
    </row>
    <row r="4" spans="1:6" x14ac:dyDescent="0.3">
      <c r="A4" s="11" t="s">
        <v>34</v>
      </c>
      <c r="B4" s="3" t="str">
        <f t="shared" si="0"/>
        <v>GD2405003</v>
      </c>
      <c r="C4" s="3" t="str">
        <f>VLOOKUP(B4,'Người dùng'!$A$2:$B$21,2,FALSE())</f>
        <v>Lê Thu Hà</v>
      </c>
      <c r="D4" s="12" t="s">
        <v>13</v>
      </c>
      <c r="E4" s="13">
        <v>45415</v>
      </c>
      <c r="F4" s="4">
        <v>85000</v>
      </c>
    </row>
    <row r="5" spans="1:6" x14ac:dyDescent="0.3">
      <c r="A5" s="11" t="s">
        <v>35</v>
      </c>
      <c r="B5" s="3" t="str">
        <f t="shared" si="0"/>
        <v>GD2405004</v>
      </c>
      <c r="C5" s="3" t="str">
        <f>VLOOKUP(B5,'Người dùng'!$A$2:$B$21,2,FALSE())</f>
        <v>Phạm Đức Huy</v>
      </c>
      <c r="D5" s="12" t="s">
        <v>15</v>
      </c>
      <c r="E5" s="13">
        <v>45416</v>
      </c>
      <c r="F5" s="4">
        <v>1200000</v>
      </c>
    </row>
    <row r="6" spans="1:6" x14ac:dyDescent="0.3">
      <c r="A6" s="11" t="s">
        <v>36</v>
      </c>
      <c r="B6" s="3" t="str">
        <f t="shared" si="0"/>
        <v>GD2405005</v>
      </c>
      <c r="C6" s="3" t="str">
        <f>VLOOKUP(B6,'Người dùng'!$A$2:$B$21,2,FALSE())</f>
        <v>Hoàng Gia Linh</v>
      </c>
      <c r="D6" s="12" t="s">
        <v>17</v>
      </c>
      <c r="E6" s="13">
        <v>45417</v>
      </c>
      <c r="F6" s="4">
        <v>450000</v>
      </c>
    </row>
    <row r="7" spans="1:6" x14ac:dyDescent="0.3">
      <c r="A7" s="11" t="s">
        <v>37</v>
      </c>
      <c r="B7" s="3" t="str">
        <f t="shared" si="0"/>
        <v>GD2405006</v>
      </c>
      <c r="C7" s="3" t="str">
        <f>VLOOKUP(B7,'Người dùng'!$A$2:$B$21,2,FALSE())</f>
        <v>Vũ Thanh Tùng</v>
      </c>
      <c r="D7" s="12" t="s">
        <v>18</v>
      </c>
      <c r="E7" s="13">
        <v>45418</v>
      </c>
      <c r="F7" s="4">
        <v>60000</v>
      </c>
    </row>
    <row r="8" spans="1:6" x14ac:dyDescent="0.3">
      <c r="A8" s="11" t="s">
        <v>38</v>
      </c>
      <c r="B8" s="3" t="str">
        <f t="shared" si="0"/>
        <v>GD2405007</v>
      </c>
      <c r="C8" s="3" t="str">
        <f>VLOOKUP(B8,'Người dùng'!$A$2:$B$21,2,FALSE())</f>
        <v>Đặng Khánh Vy</v>
      </c>
      <c r="D8" s="12" t="s">
        <v>20</v>
      </c>
      <c r="E8" s="13">
        <v>45419</v>
      </c>
      <c r="F8" s="4">
        <v>2500000</v>
      </c>
    </row>
    <row r="9" spans="1:6" x14ac:dyDescent="0.3">
      <c r="A9" s="11" t="s">
        <v>39</v>
      </c>
      <c r="B9" s="3" t="str">
        <f t="shared" si="0"/>
        <v>GD2405008</v>
      </c>
      <c r="C9" s="3" t="str">
        <f>VLOOKUP(B9,'Người dùng'!$A$2:$B$21,2,FALSE())</f>
        <v>Bùi Hải Nam</v>
      </c>
      <c r="D9" s="12" t="s">
        <v>22</v>
      </c>
      <c r="E9" s="13">
        <v>45420</v>
      </c>
      <c r="F9" s="4">
        <v>99000</v>
      </c>
    </row>
    <row r="10" spans="1:6" x14ac:dyDescent="0.3">
      <c r="A10" s="11" t="s">
        <v>40</v>
      </c>
      <c r="B10" s="3" t="str">
        <f t="shared" si="0"/>
        <v>GD2405009</v>
      </c>
      <c r="C10" s="3" t="str">
        <f>VLOOKUP(B10,'Người dùng'!$A$2:$B$21,2,FALSE())</f>
        <v>Đỗ Ngọc Mai</v>
      </c>
      <c r="D10" s="12" t="s">
        <v>23</v>
      </c>
      <c r="E10" s="13">
        <v>45421</v>
      </c>
      <c r="F10" s="4">
        <v>780000</v>
      </c>
    </row>
    <row r="11" spans="1:6" x14ac:dyDescent="0.3">
      <c r="A11" s="11" t="s">
        <v>41</v>
      </c>
      <c r="B11" s="3" t="str">
        <f t="shared" si="0"/>
        <v>GD2405010</v>
      </c>
      <c r="C11" s="3" t="str">
        <f>VLOOKUP(B11,'Người dùng'!$A$2:$B$21,2,FALSE())</f>
        <v>Ngô Tuấn Kiệt</v>
      </c>
      <c r="D11" s="12" t="s">
        <v>24</v>
      </c>
      <c r="E11" s="13">
        <v>45422</v>
      </c>
      <c r="F11" s="4">
        <v>135000</v>
      </c>
    </row>
    <row r="12" spans="1:6" x14ac:dyDescent="0.3">
      <c r="A12" s="11" t="s">
        <v>42</v>
      </c>
      <c r="B12" s="3" t="str">
        <f t="shared" si="0"/>
        <v>GD2405011</v>
      </c>
      <c r="C12" s="3" t="str">
        <f>VLOOKUP(B12,'Người dùng'!$A$2:$B$21,2,FALSE())</f>
        <v>Dương Bảo Châu</v>
      </c>
      <c r="D12" s="12" t="s">
        <v>10</v>
      </c>
      <c r="E12" s="13">
        <v>45423</v>
      </c>
      <c r="F12" s="4">
        <v>240000</v>
      </c>
    </row>
    <row r="13" spans="1:6" x14ac:dyDescent="0.3">
      <c r="A13" s="11" t="s">
        <v>43</v>
      </c>
      <c r="B13" s="3" t="str">
        <f t="shared" si="0"/>
        <v>GD2405012</v>
      </c>
      <c r="C13" s="3" t="str">
        <f>VLOOKUP(B13,'Người dùng'!$A$2:$B$21,2,FALSE())</f>
        <v>Lý Hoàng Phúc</v>
      </c>
      <c r="D13" s="12" t="s">
        <v>11</v>
      </c>
      <c r="E13" s="13">
        <v>45424</v>
      </c>
      <c r="F13" s="4">
        <v>560000</v>
      </c>
    </row>
    <row r="14" spans="1:6" x14ac:dyDescent="0.3">
      <c r="A14" s="11" t="s">
        <v>44</v>
      </c>
      <c r="B14" s="3" t="str">
        <f t="shared" si="0"/>
        <v>GD2405013</v>
      </c>
      <c r="C14" s="3" t="str">
        <f>VLOOKUP(B14,'Người dùng'!$A$2:$B$21,2,FALSE())</f>
        <v>Phan Thảo Nguyên</v>
      </c>
      <c r="D14" s="12" t="s">
        <v>13</v>
      </c>
      <c r="E14" s="13">
        <v>45425</v>
      </c>
      <c r="F14" s="4">
        <v>75000</v>
      </c>
    </row>
    <row r="15" spans="1:6" x14ac:dyDescent="0.3">
      <c r="A15" s="11" t="s">
        <v>45</v>
      </c>
      <c r="B15" s="3" t="str">
        <f t="shared" si="0"/>
        <v>GD2405014</v>
      </c>
      <c r="C15" s="3" t="str">
        <f>VLOOKUP(B15,'Người dùng'!$A$2:$B$21,2,FALSE())</f>
        <v>Võ Minh Quân</v>
      </c>
      <c r="D15" s="12" t="s">
        <v>15</v>
      </c>
      <c r="E15" s="13">
        <v>45426</v>
      </c>
      <c r="F15" s="4">
        <v>910000</v>
      </c>
    </row>
    <row r="16" spans="1:6" x14ac:dyDescent="0.3">
      <c r="A16" s="11" t="s">
        <v>46</v>
      </c>
      <c r="B16" s="3" t="str">
        <f t="shared" si="0"/>
        <v>GD2405015</v>
      </c>
      <c r="C16" s="3" t="str">
        <f>VLOOKUP(B16,'Người dùng'!$A$2:$B$21,2,FALSE())</f>
        <v>Trương Diệu Linh</v>
      </c>
      <c r="D16" s="12" t="s">
        <v>17</v>
      </c>
      <c r="E16" s="13">
        <v>45427</v>
      </c>
      <c r="F16" s="4">
        <v>330000</v>
      </c>
    </row>
    <row r="17" spans="1:6" x14ac:dyDescent="0.3">
      <c r="A17" s="11" t="s">
        <v>47</v>
      </c>
      <c r="B17" s="3" t="str">
        <f t="shared" si="0"/>
        <v>GD2405016</v>
      </c>
      <c r="C17" s="3" t="str">
        <f>VLOOKUP(B17,'Người dùng'!$A$2:$B$21,2,FALSE())</f>
        <v>Đinh Công Danh</v>
      </c>
      <c r="D17" s="12" t="s">
        <v>18</v>
      </c>
      <c r="E17" s="13">
        <v>45428</v>
      </c>
      <c r="F17" s="4">
        <v>48000</v>
      </c>
    </row>
    <row r="18" spans="1:6" x14ac:dyDescent="0.3">
      <c r="A18" s="11" t="s">
        <v>48</v>
      </c>
      <c r="B18" s="3" t="str">
        <f t="shared" si="0"/>
        <v>GD2405017</v>
      </c>
      <c r="C18" s="3" t="str">
        <f>VLOOKUP(B18,'Người dùng'!$A$2:$B$21,2,FALSE())</f>
        <v>Mai Phương Thảo</v>
      </c>
      <c r="D18" s="12" t="s">
        <v>20</v>
      </c>
      <c r="E18" s="13">
        <v>45429</v>
      </c>
      <c r="F18" s="4">
        <v>1500000</v>
      </c>
    </row>
    <row r="19" spans="1:6" x14ac:dyDescent="0.3">
      <c r="A19" s="11" t="s">
        <v>49</v>
      </c>
      <c r="B19" s="3" t="str">
        <f t="shared" si="0"/>
        <v>GD2405018</v>
      </c>
      <c r="C19" s="3" t="str">
        <f>VLOOKUP(B19,'Người dùng'!$A$2:$B$21,2,FALSE())</f>
        <v>Hồ Anh Dũng</v>
      </c>
      <c r="D19" s="12" t="s">
        <v>22</v>
      </c>
      <c r="E19" s="13">
        <v>45430</v>
      </c>
      <c r="F19" s="4">
        <v>205000</v>
      </c>
    </row>
    <row r="20" spans="1:6" x14ac:dyDescent="0.3">
      <c r="A20" s="11" t="s">
        <v>50</v>
      </c>
      <c r="B20" s="3" t="str">
        <f t="shared" si="0"/>
        <v>GD2405019</v>
      </c>
      <c r="C20" s="3" t="str">
        <f>VLOOKUP(B20,'Người dùng'!$A$2:$B$21,2,FALSE())</f>
        <v>Lâm Yến Nhi</v>
      </c>
      <c r="D20" s="12" t="s">
        <v>23</v>
      </c>
      <c r="E20" s="13">
        <v>45431</v>
      </c>
      <c r="F20" s="4">
        <v>620000</v>
      </c>
    </row>
    <row r="21" spans="1:6" x14ac:dyDescent="0.3">
      <c r="A21" s="11" t="s">
        <v>51</v>
      </c>
      <c r="B21" s="3" t="str">
        <f t="shared" si="0"/>
        <v>GD2405020</v>
      </c>
      <c r="C21" s="3" t="str">
        <f>VLOOKUP(B21,'Người dùng'!$A$2:$B$21,2,FALSE())</f>
        <v>Tạ Quang Vinh</v>
      </c>
      <c r="D21" s="12" t="s">
        <v>24</v>
      </c>
      <c r="E21" s="13">
        <v>45432</v>
      </c>
      <c r="F21" s="4">
        <v>118000</v>
      </c>
    </row>
  </sheetData>
  <autoFilter ref="A1:F2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6" customWidth="1"/>
  </cols>
  <sheetData>
    <row r="1" spans="1:2" x14ac:dyDescent="0.3">
      <c r="A1" s="1" t="s">
        <v>52</v>
      </c>
      <c r="B1" s="1" t="s">
        <v>28</v>
      </c>
    </row>
    <row r="2" spans="1:2" x14ac:dyDescent="0.3">
      <c r="A2" s="11" t="s">
        <v>32</v>
      </c>
      <c r="B2" s="11" t="s">
        <v>53</v>
      </c>
    </row>
    <row r="3" spans="1:2" x14ac:dyDescent="0.3">
      <c r="A3" s="11" t="s">
        <v>33</v>
      </c>
      <c r="B3" s="11" t="s">
        <v>54</v>
      </c>
    </row>
    <row r="4" spans="1:2" x14ac:dyDescent="0.3">
      <c r="A4" s="11" t="s">
        <v>55</v>
      </c>
      <c r="B4" s="11" t="s">
        <v>56</v>
      </c>
    </row>
    <row r="5" spans="1:2" x14ac:dyDescent="0.3">
      <c r="A5" s="11" t="s">
        <v>35</v>
      </c>
      <c r="B5" s="11" t="s">
        <v>57</v>
      </c>
    </row>
    <row r="6" spans="1:2" x14ac:dyDescent="0.3">
      <c r="A6" s="11" t="s">
        <v>36</v>
      </c>
      <c r="B6" s="11" t="s">
        <v>58</v>
      </c>
    </row>
    <row r="7" spans="1:2" x14ac:dyDescent="0.3">
      <c r="A7" s="11" t="s">
        <v>59</v>
      </c>
      <c r="B7" s="11" t="s">
        <v>60</v>
      </c>
    </row>
    <row r="8" spans="1:2" x14ac:dyDescent="0.3">
      <c r="A8" s="11" t="s">
        <v>38</v>
      </c>
      <c r="B8" s="11" t="s">
        <v>61</v>
      </c>
    </row>
    <row r="9" spans="1:2" x14ac:dyDescent="0.3">
      <c r="A9" s="11" t="s">
        <v>39</v>
      </c>
      <c r="B9" s="11" t="s">
        <v>62</v>
      </c>
    </row>
    <row r="10" spans="1:2" x14ac:dyDescent="0.3">
      <c r="A10" s="11" t="s">
        <v>63</v>
      </c>
      <c r="B10" s="11" t="s">
        <v>64</v>
      </c>
    </row>
    <row r="11" spans="1:2" x14ac:dyDescent="0.3">
      <c r="A11" s="11" t="s">
        <v>41</v>
      </c>
      <c r="B11" s="11" t="s">
        <v>65</v>
      </c>
    </row>
    <row r="12" spans="1:2" x14ac:dyDescent="0.3">
      <c r="A12" s="11" t="s">
        <v>42</v>
      </c>
      <c r="B12" s="11" t="s">
        <v>66</v>
      </c>
    </row>
    <row r="13" spans="1:2" x14ac:dyDescent="0.3">
      <c r="A13" s="11" t="s">
        <v>67</v>
      </c>
      <c r="B13" s="11" t="s">
        <v>68</v>
      </c>
    </row>
    <row r="14" spans="1:2" x14ac:dyDescent="0.3">
      <c r="A14" s="11" t="s">
        <v>44</v>
      </c>
      <c r="B14" s="11" t="s">
        <v>69</v>
      </c>
    </row>
    <row r="15" spans="1:2" x14ac:dyDescent="0.3">
      <c r="A15" s="11" t="s">
        <v>45</v>
      </c>
      <c r="B15" s="11" t="s">
        <v>70</v>
      </c>
    </row>
    <row r="16" spans="1:2" x14ac:dyDescent="0.3">
      <c r="A16" s="11" t="s">
        <v>71</v>
      </c>
      <c r="B16" s="11" t="s">
        <v>72</v>
      </c>
    </row>
    <row r="17" spans="1:2" x14ac:dyDescent="0.3">
      <c r="A17" s="11" t="s">
        <v>47</v>
      </c>
      <c r="B17" s="11" t="s">
        <v>73</v>
      </c>
    </row>
    <row r="18" spans="1:2" x14ac:dyDescent="0.3">
      <c r="A18" s="11" t="s">
        <v>48</v>
      </c>
      <c r="B18" s="11" t="s">
        <v>74</v>
      </c>
    </row>
    <row r="19" spans="1:2" x14ac:dyDescent="0.3">
      <c r="A19" s="11" t="s">
        <v>75</v>
      </c>
      <c r="B19" s="11" t="s">
        <v>76</v>
      </c>
    </row>
    <row r="20" spans="1:2" x14ac:dyDescent="0.3">
      <c r="A20" s="11" t="s">
        <v>50</v>
      </c>
      <c r="B20" s="11" t="s">
        <v>77</v>
      </c>
    </row>
    <row r="21" spans="1:2" x14ac:dyDescent="0.3">
      <c r="A21" s="11" t="s">
        <v>51</v>
      </c>
      <c r="B21" s="11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78" customWidth="1"/>
  </cols>
  <sheetData>
    <row r="1" spans="1:2" x14ac:dyDescent="0.3">
      <c r="A1" s="1" t="s">
        <v>79</v>
      </c>
      <c r="B1" s="1" t="s">
        <v>80</v>
      </c>
    </row>
    <row r="2" spans="1:2" x14ac:dyDescent="0.3">
      <c r="A2" s="14" t="s">
        <v>81</v>
      </c>
      <c r="B2" s="15">
        <f>'Tổng hợp phí'!E12</f>
        <v>120465420000</v>
      </c>
    </row>
    <row r="3" spans="1:2" x14ac:dyDescent="0.3">
      <c r="A3" s="14" t="s">
        <v>82</v>
      </c>
      <c r="B3" s="15">
        <f>'Tổng hợp phí'!D12</f>
        <v>641023</v>
      </c>
    </row>
    <row r="4" spans="1:2" x14ac:dyDescent="0.3">
      <c r="A4" s="14" t="s">
        <v>83</v>
      </c>
      <c r="B4" s="15">
        <f>'Tổng hợp phí'!I12</f>
        <v>103278682</v>
      </c>
    </row>
    <row r="5" spans="1:2" x14ac:dyDescent="0.3">
      <c r="A5" s="14" t="s">
        <v>84</v>
      </c>
      <c r="B5" s="16">
        <f>'Tổng hợp phí'!H12/'Tổng hợp phí'!E12</f>
        <v>7.743191531644517E-4</v>
      </c>
    </row>
    <row r="6" spans="1:2" x14ac:dyDescent="0.3">
      <c r="A6" s="14" t="s">
        <v>85</v>
      </c>
      <c r="B6" s="14" t="s">
        <v>86</v>
      </c>
    </row>
    <row r="7" spans="1:2" x14ac:dyDescent="0.3">
      <c r="A7" s="14" t="s">
        <v>87</v>
      </c>
      <c r="B7" s="14" t="s">
        <v>88</v>
      </c>
    </row>
    <row r="8" spans="1:2" x14ac:dyDescent="0.3">
      <c r="A8" s="14" t="s">
        <v>89</v>
      </c>
      <c r="B8" s="14" t="s">
        <v>90</v>
      </c>
    </row>
    <row r="9" spans="1:2" x14ac:dyDescent="0.3">
      <c r="A9" s="14" t="s">
        <v>26</v>
      </c>
      <c r="B9" s="14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Tổng hợp phí</vt:lpstr>
      <vt:lpstr>Giao dịch</vt:lpstr>
      <vt:lpstr>Người dùng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2026-10-26T11:08:42Z</dcterms:created>
  <dcterms:modified xsi:type="dcterms:W3CDTF">2026-10-26T11:24:31Z</dcterms:modified>
  <dc:language>en-US</dc:language>
</cp:coreProperties>
</file>