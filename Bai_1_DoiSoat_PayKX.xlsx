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aoDich" sheetId="1" state="visible" r:id="rId3"/>
    <sheet name="NguoiDung" sheetId="2" state="visible" r:id="rId4"/>
    <sheet name="DoiSoat" sheetId="3" state="visible" r:id="rId5"/>
    <sheet name="TomTatDoiSoat" sheetId="4" state="visible" r:id="rId6"/>
    <sheet name="TongHop" sheetId="5" state="visible" r:id="rId7"/>
    <sheet name="PhanTich" sheetId="6" state="visible" r:id="rId8"/>
    <sheet name="KiemThu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<sst xmlns="http://schemas.openxmlformats.org/spreadsheetml/2006/main" count="255" uniqueCount="145">
  <si>
    <t xml:space="preserve">MaGD</t>
  </si>
  <si>
    <t xml:space="preserve">NgayGD</t>
  </si>
  <si>
    <t xml:space="preserve">LoaiGD</t>
  </si>
  <si>
    <t xml:space="preserve">SoTien (VND)</t>
  </si>
  <si>
    <t xml:space="preserve">PhiDoiTac (VND)</t>
  </si>
  <si>
    <t xml:space="preserve">NganHang</t>
  </si>
  <si>
    <t xml:space="preserve">GD0001</t>
  </si>
  <si>
    <t xml:space="preserve">Nạp điện thoại</t>
  </si>
  <si>
    <t xml:space="preserve">MB Bank</t>
  </si>
  <si>
    <t xml:space="preserve">GD0002</t>
  </si>
  <si>
    <t xml:space="preserve">Thanh toán học phí</t>
  </si>
  <si>
    <t xml:space="preserve">Techcombank</t>
  </si>
  <si>
    <t xml:space="preserve">GD0003 </t>
  </si>
  <si>
    <t xml:space="preserve">Thanh toán ăn uống</t>
  </si>
  <si>
    <t xml:space="preserve">Vietcombank</t>
  </si>
  <si>
    <t xml:space="preserve">GD0004</t>
  </si>
  <si>
    <t xml:space="preserve">GD0005</t>
  </si>
  <si>
    <t xml:space="preserve">Chuyển tiền</t>
  </si>
  <si>
    <t xml:space="preserve">GD0006</t>
  </si>
  <si>
    <t xml:space="preserve">GD0007</t>
  </si>
  <si>
    <t xml:space="preserve"> GD0008</t>
  </si>
  <si>
    <t xml:space="preserve">GD0009</t>
  </si>
  <si>
    <t xml:space="preserve">GD0010</t>
  </si>
  <si>
    <t xml:space="preserve">BIDV</t>
  </si>
  <si>
    <t xml:space="preserve">GD0011</t>
  </si>
  <si>
    <t xml:space="preserve">GD0012  </t>
  </si>
  <si>
    <t xml:space="preserve">GD0013</t>
  </si>
  <si>
    <t xml:space="preserve">GD0014</t>
  </si>
  <si>
    <t xml:space="preserve">GD0015</t>
  </si>
  <si>
    <t xml:space="preserve">GD0016</t>
  </si>
  <si>
    <t xml:space="preserve"> GD0017 </t>
  </si>
  <si>
    <t xml:space="preserve">GD0018</t>
  </si>
  <si>
    <t xml:space="preserve">GD0019</t>
  </si>
  <si>
    <t xml:space="preserve">GD0020</t>
  </si>
  <si>
    <t xml:space="preserve">GD0021</t>
  </si>
  <si>
    <t xml:space="preserve">GD0022 </t>
  </si>
  <si>
    <t xml:space="preserve">GD0023</t>
  </si>
  <si>
    <t xml:space="preserve">GD0024</t>
  </si>
  <si>
    <t xml:space="preserve">GD0025</t>
  </si>
  <si>
    <t xml:space="preserve">GD0026</t>
  </si>
  <si>
    <t xml:space="preserve"> GD0027</t>
  </si>
  <si>
    <t xml:space="preserve">GD0028</t>
  </si>
  <si>
    <t xml:space="preserve">GD0029</t>
  </si>
  <si>
    <t xml:space="preserve">GD0030</t>
  </si>
  <si>
    <t xml:space="preserve">TenNguoiDung</t>
  </si>
  <si>
    <t xml:space="preserve">Nguyễn Minh Anh</t>
  </si>
  <si>
    <t xml:space="preserve">Trần Quốc Bảo</t>
  </si>
  <si>
    <t xml:space="preserve">GD0003</t>
  </si>
  <si>
    <t xml:space="preserve">Lê Thu Hà</t>
  </si>
  <si>
    <t xml:space="preserve">Phạm Đức Huy</t>
  </si>
  <si>
    <t xml:space="preserve">Võ Ngọc Lan</t>
  </si>
  <si>
    <t xml:space="preserve">Đặng Gia Hân</t>
  </si>
  <si>
    <t xml:space="preserve">Bùi Thanh Tùng</t>
  </si>
  <si>
    <t xml:space="preserve">GD0008</t>
  </si>
  <si>
    <t xml:space="preserve">Hoàng Khánh Linh</t>
  </si>
  <si>
    <t xml:space="preserve">Phan Anh Khoa</t>
  </si>
  <si>
    <t xml:space="preserve">Đỗ Mai Phương</t>
  </si>
  <si>
    <t xml:space="preserve">Ngô Hải Đăng</t>
  </si>
  <si>
    <t xml:space="preserve">GD0012</t>
  </si>
  <si>
    <t xml:space="preserve">Dương Bảo Châu</t>
  </si>
  <si>
    <t xml:space="preserve">Lý Trúc Quỳnh</t>
  </si>
  <si>
    <t xml:space="preserve">Huỳnh Tấn Phát</t>
  </si>
  <si>
    <t xml:space="preserve">Trịnh Diễm My</t>
  </si>
  <si>
    <t xml:space="preserve">GD0022</t>
  </si>
  <si>
    <t xml:space="preserve">GD0027</t>
  </si>
  <si>
    <t xml:space="preserve">MaGD_Sach</t>
  </si>
  <si>
    <t xml:space="preserve">TrangThai</t>
  </si>
  <si>
    <t xml:space="preserve">CoKhoangTrangThua</t>
  </si>
  <si>
    <t xml:space="preserve">ChiTieu</t>
  </si>
  <si>
    <t xml:space="preserve">GiaTri</t>
  </si>
  <si>
    <t xml:space="preserve">Tổng số giao dịch</t>
  </si>
  <si>
    <t xml:space="preserve">Số giao dịch khớp</t>
  </si>
  <si>
    <t xml:space="preserve">Số giao dịch lệch</t>
  </si>
  <si>
    <t xml:space="preserve">Tỷ lệ khớp</t>
  </si>
  <si>
    <t xml:space="preserve">Số mã có khoảng trắng thừa</t>
  </si>
  <si>
    <t xml:space="preserve">Tổng số tiền giao dịch (VND)</t>
  </si>
  <si>
    <t xml:space="preserve">Tổng phí đối tác (VND)</t>
  </si>
  <si>
    <t xml:space="preserve">Thang</t>
  </si>
  <si>
    <t xml:space="preserve">NapDienThoai (tr.đ)</t>
  </si>
  <si>
    <t xml:space="preserve">ChuyenTien (tr.đ)</t>
  </si>
  <si>
    <t xml:space="preserve">HocPhi (tr.đ)</t>
  </si>
  <si>
    <t xml:space="preserve">AnUong (tr.đ)</t>
  </si>
  <si>
    <t xml:space="preserve">TongDoanhThu (tr.đ)</t>
  </si>
  <si>
    <t xml:space="preserve">PhiDoiTac (tr.đ)</t>
  </si>
  <si>
    <t xml:space="preserve">ChiPhiVanHanhUuDai (tr.đ)</t>
  </si>
  <si>
    <t xml:space="preserve">LoiNhuan (tr.đ)</t>
  </si>
  <si>
    <t xml:space="preserve">TangTruongDoanhThu</t>
  </si>
  <si>
    <t xml:space="preserve">PhiDoiTac/DoanhThu</t>
  </si>
  <si>
    <t xml:space="preserve">T5/2026</t>
  </si>
  <si>
    <t xml:space="preserve">-</t>
  </si>
  <si>
    <t xml:space="preserve">T6/2026</t>
  </si>
  <si>
    <t xml:space="preserve">T7/2026</t>
  </si>
  <si>
    <t xml:space="preserve">T8/2026</t>
  </si>
  <si>
    <t xml:space="preserve">T9/2026</t>
  </si>
  <si>
    <t xml:space="preserve">T10/2026</t>
  </si>
  <si>
    <t xml:space="preserve">Ghi chú</t>
  </si>
  <si>
    <t xml:space="preserve">Chữ xanh là dữ liệu nhập. Số liệu T5 đến T10/2026 là dữ liệu giả lập của bài tập, đơn vị triệu đồng.</t>
  </si>
  <si>
    <t xml:space="preserve">Doanh thu là phí dịch vụ PayKX thu theo 4 nhóm giao dịch. Lợi nhuận = Tổng doanh thu - Phí đối tác - Chi phí vận hành và ưu đãi.</t>
  </si>
  <si>
    <t xml:space="preserve">Slide PowerPoint lấy toàn bộ số liệu từ bảng này.</t>
  </si>
  <si>
    <t xml:space="preserve">KhaiNiem</t>
  </si>
  <si>
    <t xml:space="preserve">ThanhPhan</t>
  </si>
  <si>
    <t xml:space="preserve">MoTa</t>
  </si>
  <si>
    <t xml:space="preserve">ViDu</t>
  </si>
  <si>
    <t xml:space="preserve">Record</t>
  </si>
  <si>
    <t xml:space="preserve">Một dòng dữ liệu</t>
  </si>
  <si>
    <t xml:space="preserve">Mỗi record là một giao dịch hoàn chỉnh, gồm đủ 6 trường. Dòng 1 là tiêu đề nên không tính.</t>
  </si>
  <si>
    <t xml:space="preserve">GD0001 | 01/10/2026 | Nạp điện thoại | 62,000 | 434 | MB Bank</t>
  </si>
  <si>
    <t xml:space="preserve">Field</t>
  </si>
  <si>
    <t xml:space="preserve">Mã giao dịch, kiểu văn bản, duy nhất cho mỗi record nên là khóa chính. Là trường dùng để VLOOKUP.</t>
  </si>
  <si>
    <t xml:space="preserve">Ngày phát sinh giao dịch, kiểu ngày.</t>
  </si>
  <si>
    <t xml:space="preserve">01/10/2026</t>
  </si>
  <si>
    <t xml:space="preserve">Nhóm giao dịch, kiểu văn bản, gồm 4 giá trị: nạp điện thoại, chuyển tiền, thanh toán học phí, thanh toán ăn uống.</t>
  </si>
  <si>
    <t xml:space="preserve">SoTien</t>
  </si>
  <si>
    <t xml:space="preserve">Số tiền giao dịch bằng VND, kiểu số.</t>
  </si>
  <si>
    <t xml:space="preserve">62,000</t>
  </si>
  <si>
    <t xml:space="preserve">PhiDoiTac</t>
  </si>
  <si>
    <t xml:space="preserve">Phí ngân hàng đối tác tính cho giao dịch, VND, kiểu số.</t>
  </si>
  <si>
    <t xml:space="preserve">434</t>
  </si>
  <si>
    <t xml:space="preserve">Ngân hàng xử lý giao dịch, kiểu văn bản.</t>
  </si>
  <si>
    <t xml:space="preserve">Thống kê</t>
  </si>
  <si>
    <t xml:space="preserve">Số record</t>
  </si>
  <si>
    <t xml:space="preserve">Đếm theo cột MaGD</t>
  </si>
  <si>
    <t xml:space="preserve">Số field</t>
  </si>
  <si>
    <t xml:space="preserve">Đếm theo hàng tiêu đề</t>
  </si>
  <si>
    <t xml:space="preserve">Buoc</t>
  </si>
  <si>
    <t xml:space="preserve">DiemKiemTra</t>
  </si>
  <si>
    <t xml:space="preserve">CachLamTrongExcel</t>
  </si>
  <si>
    <t xml:space="preserve">DauHieuLoi</t>
  </si>
  <si>
    <t xml:space="preserve">CachXuLy</t>
  </si>
  <si>
    <t xml:space="preserve">Khoảng trắng và ký tự ẩn</t>
  </si>
  <si>
    <t xml:space="preserve">So sánh =LEN(ô mã) với =LEN(TRIM(ô mã)) ở cả giá trị tra cứu lẫn cột đầu của bảng tra.</t>
  </si>
  <si>
    <t xml:space="preserve">Hai độ dài khác nhau. Trong file này cột CoKhoangTrangThua của sheet DoiSoat báo 'Có' cho 6 mã.</t>
  </si>
  <si>
    <t xml:space="preserve">Bọc giá trị tra cứu bằng TRIM, thêm CLEAN nếu dữ liệu dán từ web hoặc PDF.</t>
  </si>
  <si>
    <t xml:space="preserve">Kiểu dữ liệu và cách viết mã</t>
  </si>
  <si>
    <t xml:space="preserve">Dùng =ISTEXT(ô) và =ISNUMBER(ô) trên cả hai bên. Xem mã có đồng nhất dạng GD cộng 4 chữ số không.</t>
  </si>
  <si>
    <t xml:space="preserve">Một bên là số, một bên là văn bản, hoặc mã thiếu số 0 đầu (GD1 thay vì GD0001).</t>
  </si>
  <si>
    <t xml:space="preserve">Đổi về cùng kiểu bằng TEXT hoặc VALUE, chuẩn hóa độ dài mã trước khi tra.</t>
  </si>
  <si>
    <t xml:space="preserve">Công thức VLOOKUP và vùng tra</t>
  </si>
  <si>
    <t xml:space="preserve">Xem lại 4 tham số: giá trị tra, vùng bảng, số cột trả về, FALSE. Cột mã phải là cột đầu tiên của vùng, vùng khóa bằng $.</t>
  </si>
  <si>
    <t xml:space="preserve">Vùng bị trượt khi kéo công thức, vùng thiếu dòng cuối, số cột lớn hơn số cột của vùng, hoặc quên tham số FALSE.</t>
  </si>
  <si>
    <t xml:space="preserve">Sửa thành NguoiDung!$A$2:$B$30 với số cột 2 và FALSE.</t>
  </si>
  <si>
    <t xml:space="preserve">Mã có thật sự tồn tại trong bảng nguồn</t>
  </si>
  <si>
    <t xml:space="preserve">Chạy =COUNTIF(NguoiDung!$A:$A, mã đã TRIM). Kết quả 0 nghĩa là bảng tra không có mã đó.</t>
  </si>
  <si>
    <t xml:space="preserve">Đã làm sạch và công thức đúng mà vẫn báo lỗi không tìm thấy giá trị. Trong file này là mã GD0017.</t>
  </si>
  <si>
    <t xml:space="preserve">Đây là lệch dữ liệu thật. Gắn trạng thái Lệch, gửi danh sách cho ngân hàng bổ sung. IFERROR chỉ dùng sau bước này.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</si>
</sst>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0.0%"/>
    <numFmt numFmtId="168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46296</v>
      </c>
      <c r="C2" s="2" t="s">
        <v>7</v>
      </c>
      <c r="D2" s="4" t="n">
        <v>62000</v>
      </c>
      <c r="E2" s="4" t="n">
        <v>434</v>
      </c>
      <c r="F2" s="2" t="s">
        <v>8</v>
      </c>
    </row>
    <row r="3" customFormat="false" ht="15" hidden="false" customHeight="false" outlineLevel="0" collapsed="false">
      <c r="A3" s="2" t="s">
        <v>9</v>
      </c>
      <c r="B3" s="3" t="n">
        <v>46296</v>
      </c>
      <c r="C3" s="2" t="s">
        <v>10</v>
      </c>
      <c r="D3" s="4" t="n">
        <v>3286000</v>
      </c>
      <c r="E3" s="4" t="n">
        <v>26288</v>
      </c>
      <c r="F3" s="2" t="s">
        <v>11</v>
      </c>
    </row>
    <row r="4" customFormat="false" ht="15" hidden="false" customHeight="false" outlineLevel="0" collapsed="false">
      <c r="A4" s="2" t="s">
        <v>12</v>
      </c>
      <c r="B4" s="3" t="n">
        <v>46297</v>
      </c>
      <c r="C4" s="2" t="s">
        <v>13</v>
      </c>
      <c r="D4" s="4" t="n">
        <v>106000</v>
      </c>
      <c r="E4" s="4" t="n">
        <v>954</v>
      </c>
      <c r="F4" s="2" t="s">
        <v>14</v>
      </c>
    </row>
    <row r="5" customFormat="false" ht="15" hidden="false" customHeight="false" outlineLevel="0" collapsed="false">
      <c r="A5" s="2" t="s">
        <v>15</v>
      </c>
      <c r="B5" s="3" t="n">
        <v>46297</v>
      </c>
      <c r="C5" s="2" t="s">
        <v>13</v>
      </c>
      <c r="D5" s="4" t="n">
        <v>99000</v>
      </c>
      <c r="E5" s="4" t="n">
        <v>792</v>
      </c>
      <c r="F5" s="2" t="s">
        <v>11</v>
      </c>
    </row>
    <row r="6" customFormat="false" ht="15" hidden="false" customHeight="false" outlineLevel="0" collapsed="false">
      <c r="A6" s="2" t="s">
        <v>16</v>
      </c>
      <c r="B6" s="3" t="n">
        <v>46300</v>
      </c>
      <c r="C6" s="2" t="s">
        <v>17</v>
      </c>
      <c r="D6" s="4" t="n">
        <v>313000</v>
      </c>
      <c r="E6" s="4" t="n">
        <v>2191</v>
      </c>
      <c r="F6" s="2" t="s">
        <v>8</v>
      </c>
    </row>
    <row r="7" customFormat="false" ht="15" hidden="false" customHeight="false" outlineLevel="0" collapsed="false">
      <c r="A7" s="2" t="s">
        <v>18</v>
      </c>
      <c r="B7" s="3" t="n">
        <v>46302</v>
      </c>
      <c r="C7" s="2" t="s">
        <v>13</v>
      </c>
      <c r="D7" s="4" t="n">
        <v>35000</v>
      </c>
      <c r="E7" s="4" t="n">
        <v>245</v>
      </c>
      <c r="F7" s="2" t="s">
        <v>8</v>
      </c>
    </row>
    <row r="8" customFormat="false" ht="15" hidden="false" customHeight="false" outlineLevel="0" collapsed="false">
      <c r="A8" s="2" t="s">
        <v>19</v>
      </c>
      <c r="B8" s="3" t="n">
        <v>46302</v>
      </c>
      <c r="C8" s="2" t="s">
        <v>17</v>
      </c>
      <c r="D8" s="4" t="n">
        <v>1546000</v>
      </c>
      <c r="E8" s="4" t="n">
        <v>10822</v>
      </c>
      <c r="F8" s="2" t="s">
        <v>8</v>
      </c>
    </row>
    <row r="9" customFormat="false" ht="15" hidden="false" customHeight="false" outlineLevel="0" collapsed="false">
      <c r="A9" s="2" t="s">
        <v>20</v>
      </c>
      <c r="B9" s="3" t="n">
        <v>46302</v>
      </c>
      <c r="C9" s="2" t="s">
        <v>10</v>
      </c>
      <c r="D9" s="4" t="n">
        <v>2113000</v>
      </c>
      <c r="E9" s="4" t="n">
        <v>19017</v>
      </c>
      <c r="F9" s="2" t="s">
        <v>14</v>
      </c>
    </row>
    <row r="10" customFormat="false" ht="15" hidden="false" customHeight="false" outlineLevel="0" collapsed="false">
      <c r="A10" s="2" t="s">
        <v>21</v>
      </c>
      <c r="B10" s="3" t="n">
        <v>46305</v>
      </c>
      <c r="C10" s="2" t="s">
        <v>7</v>
      </c>
      <c r="D10" s="4" t="n">
        <v>140000</v>
      </c>
      <c r="E10" s="4" t="n">
        <v>1260</v>
      </c>
      <c r="F10" s="2" t="s">
        <v>14</v>
      </c>
    </row>
    <row r="11" customFormat="false" ht="15" hidden="false" customHeight="false" outlineLevel="0" collapsed="false">
      <c r="A11" s="2" t="s">
        <v>22</v>
      </c>
      <c r="B11" s="3" t="n">
        <v>46307</v>
      </c>
      <c r="C11" s="2" t="s">
        <v>13</v>
      </c>
      <c r="D11" s="4" t="n">
        <v>116000</v>
      </c>
      <c r="E11" s="4" t="n">
        <v>1160</v>
      </c>
      <c r="F11" s="2" t="s">
        <v>23</v>
      </c>
    </row>
    <row r="12" customFormat="false" ht="15" hidden="false" customHeight="false" outlineLevel="0" collapsed="false">
      <c r="A12" s="2" t="s">
        <v>24</v>
      </c>
      <c r="B12" s="3" t="n">
        <v>46308</v>
      </c>
      <c r="C12" s="2" t="s">
        <v>7</v>
      </c>
      <c r="D12" s="4" t="n">
        <v>70000</v>
      </c>
      <c r="E12" s="4" t="n">
        <v>700</v>
      </c>
      <c r="F12" s="2" t="s">
        <v>23</v>
      </c>
    </row>
    <row r="13" customFormat="false" ht="15" hidden="false" customHeight="false" outlineLevel="0" collapsed="false">
      <c r="A13" s="2" t="s">
        <v>25</v>
      </c>
      <c r="B13" s="3" t="n">
        <v>46311</v>
      </c>
      <c r="C13" s="2" t="s">
        <v>17</v>
      </c>
      <c r="D13" s="4" t="n">
        <v>1490000</v>
      </c>
      <c r="E13" s="4" t="n">
        <v>11920</v>
      </c>
      <c r="F13" s="2" t="s">
        <v>11</v>
      </c>
    </row>
    <row r="14" customFormat="false" ht="15" hidden="false" customHeight="false" outlineLevel="0" collapsed="false">
      <c r="A14" s="2" t="s">
        <v>26</v>
      </c>
      <c r="B14" s="3" t="n">
        <v>46312</v>
      </c>
      <c r="C14" s="2" t="s">
        <v>17</v>
      </c>
      <c r="D14" s="4" t="n">
        <v>812000</v>
      </c>
      <c r="E14" s="4" t="n">
        <v>5684</v>
      </c>
      <c r="F14" s="2" t="s">
        <v>8</v>
      </c>
    </row>
    <row r="15" customFormat="false" ht="15" hidden="false" customHeight="false" outlineLevel="0" collapsed="false">
      <c r="A15" s="2" t="s">
        <v>27</v>
      </c>
      <c r="B15" s="3" t="n">
        <v>46314</v>
      </c>
      <c r="C15" s="2" t="s">
        <v>7</v>
      </c>
      <c r="D15" s="4" t="n">
        <v>138000</v>
      </c>
      <c r="E15" s="4" t="n">
        <v>966</v>
      </c>
      <c r="F15" s="2" t="s">
        <v>8</v>
      </c>
    </row>
    <row r="16" customFormat="false" ht="15" hidden="false" customHeight="false" outlineLevel="0" collapsed="false">
      <c r="A16" s="2" t="s">
        <v>28</v>
      </c>
      <c r="B16" s="3" t="n">
        <v>46314</v>
      </c>
      <c r="C16" s="2" t="s">
        <v>7</v>
      </c>
      <c r="D16" s="4" t="n">
        <v>149000</v>
      </c>
      <c r="E16" s="4" t="n">
        <v>1341</v>
      </c>
      <c r="F16" s="2" t="s">
        <v>14</v>
      </c>
    </row>
    <row r="17" customFormat="false" ht="15" hidden="false" customHeight="false" outlineLevel="0" collapsed="false">
      <c r="A17" s="2" t="s">
        <v>29</v>
      </c>
      <c r="B17" s="3" t="n">
        <v>46315</v>
      </c>
      <c r="C17" s="2" t="s">
        <v>13</v>
      </c>
      <c r="D17" s="4" t="n">
        <v>35000</v>
      </c>
      <c r="E17" s="4" t="n">
        <v>350</v>
      </c>
      <c r="F17" s="2" t="s">
        <v>23</v>
      </c>
    </row>
    <row r="18" customFormat="false" ht="15" hidden="false" customHeight="false" outlineLevel="0" collapsed="false">
      <c r="A18" s="2" t="s">
        <v>30</v>
      </c>
      <c r="B18" s="3" t="n">
        <v>46317</v>
      </c>
      <c r="C18" s="2" t="s">
        <v>10</v>
      </c>
      <c r="D18" s="4" t="n">
        <v>1566000</v>
      </c>
      <c r="E18" s="4" t="n">
        <v>14094</v>
      </c>
      <c r="F18" s="2" t="s">
        <v>14</v>
      </c>
    </row>
    <row r="19" customFormat="false" ht="15" hidden="false" customHeight="false" outlineLevel="0" collapsed="false">
      <c r="A19" s="2" t="s">
        <v>31</v>
      </c>
      <c r="B19" s="3" t="n">
        <v>46319</v>
      </c>
      <c r="C19" s="2" t="s">
        <v>10</v>
      </c>
      <c r="D19" s="4" t="n">
        <v>5403000</v>
      </c>
      <c r="E19" s="4" t="n">
        <v>48627</v>
      </c>
      <c r="F19" s="2" t="s">
        <v>14</v>
      </c>
    </row>
    <row r="20" customFormat="false" ht="15" hidden="false" customHeight="false" outlineLevel="0" collapsed="false">
      <c r="A20" s="2" t="s">
        <v>32</v>
      </c>
      <c r="B20" s="3" t="n">
        <v>46319</v>
      </c>
      <c r="C20" s="2" t="s">
        <v>17</v>
      </c>
      <c r="D20" s="4" t="n">
        <v>1291000</v>
      </c>
      <c r="E20" s="4" t="n">
        <v>12910</v>
      </c>
      <c r="F20" s="2" t="s">
        <v>23</v>
      </c>
    </row>
    <row r="21" customFormat="false" ht="15" hidden="false" customHeight="false" outlineLevel="0" collapsed="false">
      <c r="A21" s="2" t="s">
        <v>33</v>
      </c>
      <c r="B21" s="3" t="n">
        <v>46320</v>
      </c>
      <c r="C21" s="2" t="s">
        <v>10</v>
      </c>
      <c r="D21" s="4" t="n">
        <v>1779000</v>
      </c>
      <c r="E21" s="4" t="n">
        <v>16011</v>
      </c>
      <c r="F21" s="2" t="s">
        <v>14</v>
      </c>
    </row>
    <row r="22" customFormat="false" ht="15" hidden="false" customHeight="false" outlineLevel="0" collapsed="false">
      <c r="A22" s="2" t="s">
        <v>34</v>
      </c>
      <c r="B22" s="3" t="n">
        <v>46320</v>
      </c>
      <c r="C22" s="2" t="s">
        <v>10</v>
      </c>
      <c r="D22" s="4" t="n">
        <v>5019000</v>
      </c>
      <c r="E22" s="4" t="n">
        <v>45171</v>
      </c>
      <c r="F22" s="2" t="s">
        <v>14</v>
      </c>
    </row>
    <row r="23" customFormat="false" ht="15" hidden="false" customHeight="false" outlineLevel="0" collapsed="false">
      <c r="A23" s="2" t="s">
        <v>35</v>
      </c>
      <c r="B23" s="3" t="n">
        <v>46321</v>
      </c>
      <c r="C23" s="2" t="s">
        <v>17</v>
      </c>
      <c r="D23" s="4" t="n">
        <v>698000</v>
      </c>
      <c r="E23" s="4" t="n">
        <v>4886</v>
      </c>
      <c r="F23" s="2" t="s">
        <v>8</v>
      </c>
    </row>
    <row r="24" customFormat="false" ht="15" hidden="false" customHeight="false" outlineLevel="0" collapsed="false">
      <c r="A24" s="2" t="s">
        <v>36</v>
      </c>
      <c r="B24" s="3" t="n">
        <v>46322</v>
      </c>
      <c r="C24" s="2" t="s">
        <v>17</v>
      </c>
      <c r="D24" s="4" t="n">
        <v>435000</v>
      </c>
      <c r="E24" s="4" t="n">
        <v>3915</v>
      </c>
      <c r="F24" s="2" t="s">
        <v>14</v>
      </c>
    </row>
    <row r="25" customFormat="false" ht="15" hidden="false" customHeight="false" outlineLevel="0" collapsed="false">
      <c r="A25" s="2" t="s">
        <v>37</v>
      </c>
      <c r="B25" s="3" t="n">
        <v>46322</v>
      </c>
      <c r="C25" s="2" t="s">
        <v>13</v>
      </c>
      <c r="D25" s="4" t="n">
        <v>67000</v>
      </c>
      <c r="E25" s="4" t="n">
        <v>670</v>
      </c>
      <c r="F25" s="2" t="s">
        <v>23</v>
      </c>
    </row>
    <row r="26" customFormat="false" ht="15" hidden="false" customHeight="false" outlineLevel="0" collapsed="false">
      <c r="A26" s="2" t="s">
        <v>38</v>
      </c>
      <c r="B26" s="3" t="n">
        <v>46325</v>
      </c>
      <c r="C26" s="2" t="s">
        <v>10</v>
      </c>
      <c r="D26" s="4" t="n">
        <v>2306000</v>
      </c>
      <c r="E26" s="4" t="n">
        <v>20754</v>
      </c>
      <c r="F26" s="2" t="s">
        <v>14</v>
      </c>
    </row>
    <row r="27" customFormat="false" ht="15" hidden="false" customHeight="false" outlineLevel="0" collapsed="false">
      <c r="A27" s="2" t="s">
        <v>39</v>
      </c>
      <c r="B27" s="3" t="n">
        <v>46325</v>
      </c>
      <c r="C27" s="2" t="s">
        <v>7</v>
      </c>
      <c r="D27" s="4" t="n">
        <v>58000</v>
      </c>
      <c r="E27" s="4" t="n">
        <v>522</v>
      </c>
      <c r="F27" s="2" t="s">
        <v>14</v>
      </c>
    </row>
    <row r="28" customFormat="false" ht="15" hidden="false" customHeight="false" outlineLevel="0" collapsed="false">
      <c r="A28" s="2" t="s">
        <v>40</v>
      </c>
      <c r="B28" s="3" t="n">
        <v>46325</v>
      </c>
      <c r="C28" s="2" t="s">
        <v>7</v>
      </c>
      <c r="D28" s="4" t="n">
        <v>158000</v>
      </c>
      <c r="E28" s="4" t="n">
        <v>1422</v>
      </c>
      <c r="F28" s="2" t="s">
        <v>14</v>
      </c>
    </row>
    <row r="29" customFormat="false" ht="15" hidden="false" customHeight="false" outlineLevel="0" collapsed="false">
      <c r="A29" s="2" t="s">
        <v>41</v>
      </c>
      <c r="B29" s="3" t="n">
        <v>46326</v>
      </c>
      <c r="C29" s="2" t="s">
        <v>17</v>
      </c>
      <c r="D29" s="4" t="n">
        <v>1749000</v>
      </c>
      <c r="E29" s="4" t="n">
        <v>13992</v>
      </c>
      <c r="F29" s="2" t="s">
        <v>11</v>
      </c>
    </row>
    <row r="30" customFormat="false" ht="15" hidden="false" customHeight="false" outlineLevel="0" collapsed="false">
      <c r="A30" s="2" t="s">
        <v>42</v>
      </c>
      <c r="B30" s="3" t="n">
        <v>46326</v>
      </c>
      <c r="C30" s="2" t="s">
        <v>7</v>
      </c>
      <c r="D30" s="4" t="n">
        <v>175000</v>
      </c>
      <c r="E30" s="4" t="n">
        <v>1400</v>
      </c>
      <c r="F30" s="2" t="s">
        <v>11</v>
      </c>
    </row>
    <row r="31" customFormat="false" ht="15" hidden="false" customHeight="false" outlineLevel="0" collapsed="false">
      <c r="A31" s="2" t="s">
        <v>43</v>
      </c>
      <c r="B31" s="3" t="n">
        <v>46326</v>
      </c>
      <c r="C31" s="2" t="s">
        <v>13</v>
      </c>
      <c r="D31" s="4" t="n">
        <v>113000</v>
      </c>
      <c r="E31" s="4" t="n">
        <v>791</v>
      </c>
      <c r="F3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</cols>
  <sheetData>
    <row r="1" customFormat="false" ht="31.5" hidden="false" customHeight="true" outlineLevel="0" collapsed="false">
      <c r="A1" s="1" t="s">
        <v>0</v>
      </c>
      <c r="B1" s="1" t="s">
        <v>44</v>
      </c>
    </row>
    <row r="2" customFormat="false" ht="15" hidden="false" customHeight="false" outlineLevel="0" collapsed="false">
      <c r="A2" s="2" t="s">
        <v>6</v>
      </c>
      <c r="B2" s="2" t="s">
        <v>45</v>
      </c>
    </row>
    <row r="3" customFormat="false" ht="15" hidden="false" customHeight="false" outlineLevel="0" collapsed="false">
      <c r="A3" s="2" t="s">
        <v>9</v>
      </c>
      <c r="B3" s="2" t="s">
        <v>46</v>
      </c>
    </row>
    <row r="4" customFormat="false" ht="15" hidden="false" customHeight="false" outlineLevel="0" collapsed="false">
      <c r="A4" s="2" t="s">
        <v>47</v>
      </c>
      <c r="B4" s="2" t="s">
        <v>48</v>
      </c>
    </row>
    <row r="5" customFormat="false" ht="15" hidden="false" customHeight="false" outlineLevel="0" collapsed="false">
      <c r="A5" s="2" t="s">
        <v>15</v>
      </c>
      <c r="B5" s="2" t="s">
        <v>49</v>
      </c>
    </row>
    <row r="6" customFormat="false" ht="15" hidden="false" customHeight="false" outlineLevel="0" collapsed="false">
      <c r="A6" s="2" t="s">
        <v>16</v>
      </c>
      <c r="B6" s="2" t="s">
        <v>50</v>
      </c>
    </row>
    <row r="7" customFormat="false" ht="15" hidden="false" customHeight="false" outlineLevel="0" collapsed="false">
      <c r="A7" s="2" t="s">
        <v>18</v>
      </c>
      <c r="B7" s="2" t="s">
        <v>51</v>
      </c>
    </row>
    <row r="8" customFormat="false" ht="15" hidden="false" customHeight="false" outlineLevel="0" collapsed="false">
      <c r="A8" s="2" t="s">
        <v>19</v>
      </c>
      <c r="B8" s="2" t="s">
        <v>52</v>
      </c>
    </row>
    <row r="9" customFormat="false" ht="15" hidden="false" customHeight="false" outlineLevel="0" collapsed="false">
      <c r="A9" s="2" t="s">
        <v>53</v>
      </c>
      <c r="B9" s="2" t="s">
        <v>54</v>
      </c>
    </row>
    <row r="10" customFormat="false" ht="15" hidden="false" customHeight="false" outlineLevel="0" collapsed="false">
      <c r="A10" s="2" t="s">
        <v>21</v>
      </c>
      <c r="B10" s="2" t="s">
        <v>55</v>
      </c>
    </row>
    <row r="11" customFormat="false" ht="15" hidden="false" customHeight="false" outlineLevel="0" collapsed="false">
      <c r="A11" s="2" t="s">
        <v>22</v>
      </c>
      <c r="B11" s="2" t="s">
        <v>56</v>
      </c>
    </row>
    <row r="12" customFormat="false" ht="15" hidden="false" customHeight="false" outlineLevel="0" collapsed="false">
      <c r="A12" s="2" t="s">
        <v>24</v>
      </c>
      <c r="B12" s="2" t="s">
        <v>57</v>
      </c>
    </row>
    <row r="13" customFormat="false" ht="15" hidden="false" customHeight="false" outlineLevel="0" collapsed="false">
      <c r="A13" s="2" t="s">
        <v>58</v>
      </c>
      <c r="B13" s="2" t="s">
        <v>59</v>
      </c>
    </row>
    <row r="14" customFormat="false" ht="15" hidden="false" customHeight="false" outlineLevel="0" collapsed="false">
      <c r="A14" s="2" t="s">
        <v>26</v>
      </c>
      <c r="B14" s="2" t="s">
        <v>60</v>
      </c>
    </row>
    <row r="15" customFormat="false" ht="15" hidden="false" customHeight="false" outlineLevel="0" collapsed="false">
      <c r="A15" s="2" t="s">
        <v>27</v>
      </c>
      <c r="B15" s="2" t="s">
        <v>61</v>
      </c>
    </row>
    <row r="16" customFormat="false" ht="15" hidden="false" customHeight="false" outlineLevel="0" collapsed="false">
      <c r="A16" s="2" t="s">
        <v>28</v>
      </c>
      <c r="B16" s="2" t="s">
        <v>62</v>
      </c>
    </row>
    <row r="17" customFormat="false" ht="15" hidden="false" customHeight="false" outlineLevel="0" collapsed="false">
      <c r="A17" s="2" t="s">
        <v>29</v>
      </c>
      <c r="B17" s="2" t="s">
        <v>45</v>
      </c>
    </row>
    <row r="18" customFormat="false" ht="15" hidden="false" customHeight="false" outlineLevel="0" collapsed="false">
      <c r="A18" s="2" t="s">
        <v>31</v>
      </c>
      <c r="B18" s="2" t="s">
        <v>48</v>
      </c>
    </row>
    <row r="19" customFormat="false" ht="15" hidden="false" customHeight="false" outlineLevel="0" collapsed="false">
      <c r="A19" s="2" t="s">
        <v>32</v>
      </c>
      <c r="B19" s="2" t="s">
        <v>49</v>
      </c>
    </row>
    <row r="20" customFormat="false" ht="15" hidden="false" customHeight="false" outlineLevel="0" collapsed="false">
      <c r="A20" s="2" t="s">
        <v>33</v>
      </c>
      <c r="B20" s="2" t="s">
        <v>50</v>
      </c>
    </row>
    <row r="21" customFormat="false" ht="15" hidden="false" customHeight="false" outlineLevel="0" collapsed="false">
      <c r="A21" s="2" t="s">
        <v>34</v>
      </c>
      <c r="B21" s="2" t="s">
        <v>51</v>
      </c>
    </row>
    <row r="22" customFormat="false" ht="15" hidden="false" customHeight="false" outlineLevel="0" collapsed="false">
      <c r="A22" s="2" t="s">
        <v>63</v>
      </c>
      <c r="B22" s="2" t="s">
        <v>52</v>
      </c>
    </row>
    <row r="23" customFormat="false" ht="15" hidden="false" customHeight="false" outlineLevel="0" collapsed="false">
      <c r="A23" s="2" t="s">
        <v>36</v>
      </c>
      <c r="B23" s="2" t="s">
        <v>54</v>
      </c>
    </row>
    <row r="24" customFormat="false" ht="15" hidden="false" customHeight="false" outlineLevel="0" collapsed="false">
      <c r="A24" s="2" t="s">
        <v>37</v>
      </c>
      <c r="B24" s="2" t="s">
        <v>55</v>
      </c>
    </row>
    <row r="25" customFormat="false" ht="15" hidden="false" customHeight="false" outlineLevel="0" collapsed="false">
      <c r="A25" s="2" t="s">
        <v>38</v>
      </c>
      <c r="B25" s="2" t="s">
        <v>56</v>
      </c>
    </row>
    <row r="26" customFormat="false" ht="15" hidden="false" customHeight="false" outlineLevel="0" collapsed="false">
      <c r="A26" s="2" t="s">
        <v>39</v>
      </c>
      <c r="B26" s="2" t="s">
        <v>57</v>
      </c>
    </row>
    <row r="27" customFormat="false" ht="15" hidden="false" customHeight="false" outlineLevel="0" collapsed="false">
      <c r="A27" s="2" t="s">
        <v>64</v>
      </c>
      <c r="B27" s="2" t="s">
        <v>59</v>
      </c>
    </row>
    <row r="28" customFormat="false" ht="15" hidden="false" customHeight="false" outlineLevel="0" collapsed="false">
      <c r="A28" s="2" t="s">
        <v>41</v>
      </c>
      <c r="B28" s="2" t="s">
        <v>60</v>
      </c>
    </row>
    <row r="29" customFormat="false" ht="15" hidden="false" customHeight="false" outlineLevel="0" collapsed="false">
      <c r="A29" s="2" t="s">
        <v>42</v>
      </c>
      <c r="B29" s="2" t="s">
        <v>61</v>
      </c>
    </row>
    <row r="30" customFormat="false" ht="15" hidden="false" customHeight="false" outlineLevel="0" collapsed="false">
      <c r="A30" s="2" t="s">
        <v>43</v>
      </c>
      <c r="B30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31.5" hidden="false" customHeight="true" outlineLevel="0" collapsed="false">
      <c r="A1" s="1" t="s">
        <v>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66</v>
      </c>
      <c r="I1" s="1" t="s">
        <v>67</v>
      </c>
    </row>
    <row r="2" customFormat="false" ht="15" hidden="false" customHeight="false" outlineLevel="0" collapsed="false">
      <c r="A2" s="2" t="str">
        <f aca="false">TRIM(GiaoDich!A2)</f>
        <v>GD0001</v>
      </c>
      <c r="B2" s="3" t="n">
        <f aca="false">GiaoDich!B2</f>
        <v>46296</v>
      </c>
      <c r="C2" s="2" t="str">
        <f aca="false">TRIM(GiaoDich!C2)</f>
        <v>Nạp điện thoại</v>
      </c>
      <c r="D2" s="4" t="n">
        <f aca="false">GiaoDich!D2</f>
        <v>62000</v>
      </c>
      <c r="E2" s="4" t="n">
        <f aca="false">GiaoDich!E2</f>
        <v>434</v>
      </c>
      <c r="F2" s="2" t="str">
        <f aca="false">TRIM(GiaoDich!F2)</f>
        <v>MB Bank</v>
      </c>
      <c r="G2" s="2" t="str">
        <f aca="false">IFERROR(VLOOKUP(A2,NguoiDung!$A$2:$B$30,2,FALSE()),"Không tìm thấy")</f>
        <v>Nguyễn Minh Anh</v>
      </c>
      <c r="H2" s="2" t="str">
        <f aca="false">IF(G2="Không tìm thấy","Lệch","Khớp")</f>
        <v>Khớp</v>
      </c>
      <c r="I2" s="2" t="str">
        <f aca="false">IF(LEN(GiaoDich!A2)&lt;&gt;LEN(TRIM(GiaoDich!A2)),"Có","Không")</f>
        <v>Không</v>
      </c>
    </row>
    <row r="3" customFormat="false" ht="15" hidden="false" customHeight="false" outlineLevel="0" collapsed="false">
      <c r="A3" s="2" t="str">
        <f aca="false">TRIM(GiaoDich!A3)</f>
        <v>GD0002</v>
      </c>
      <c r="B3" s="3" t="n">
        <f aca="false">GiaoDich!B3</f>
        <v>46296</v>
      </c>
      <c r="C3" s="2" t="str">
        <f aca="false">TRIM(GiaoDich!C3)</f>
        <v>Thanh toán học phí</v>
      </c>
      <c r="D3" s="4" t="n">
        <f aca="false">GiaoDich!D3</f>
        <v>3286000</v>
      </c>
      <c r="E3" s="4" t="n">
        <f aca="false">GiaoDich!E3</f>
        <v>26288</v>
      </c>
      <c r="F3" s="2" t="str">
        <f aca="false">TRIM(GiaoDich!F3)</f>
        <v>Techcombank</v>
      </c>
      <c r="G3" s="2" t="str">
        <f aca="false">IFERROR(VLOOKUP(A3,NguoiDung!$A$2:$B$30,2,FALSE()),"Không tìm thấy")</f>
        <v>Trần Quốc Bảo</v>
      </c>
      <c r="H3" s="2" t="str">
        <f aca="false">IF(G3="Không tìm thấy","Lệch","Khớp")</f>
        <v>Khớp</v>
      </c>
      <c r="I3" s="2" t="str">
        <f aca="false">IF(LEN(GiaoDich!A3)&lt;&gt;LEN(TRIM(GiaoDich!A3)),"Có","Không")</f>
        <v>Không</v>
      </c>
    </row>
    <row r="4" customFormat="false" ht="15" hidden="false" customHeight="false" outlineLevel="0" collapsed="false">
      <c r="A4" s="2" t="str">
        <f aca="false">TRIM(GiaoDich!A4)</f>
        <v>GD0003</v>
      </c>
      <c r="B4" s="3" t="n">
        <f aca="false">GiaoDich!B4</f>
        <v>46297</v>
      </c>
      <c r="C4" s="2" t="str">
        <f aca="false">TRIM(GiaoDich!C4)</f>
        <v>Thanh toán ăn uống</v>
      </c>
      <c r="D4" s="4" t="n">
        <f aca="false">GiaoDich!D4</f>
        <v>106000</v>
      </c>
      <c r="E4" s="4" t="n">
        <f aca="false">GiaoDich!E4</f>
        <v>954</v>
      </c>
      <c r="F4" s="2" t="str">
        <f aca="false">TRIM(GiaoDich!F4)</f>
        <v>Vietcombank</v>
      </c>
      <c r="G4" s="2" t="str">
        <f aca="false">IFERROR(VLOOKUP(A4,NguoiDung!$A$2:$B$30,2,FALSE()),"Không tìm thấy")</f>
        <v>Lê Thu Hà</v>
      </c>
      <c r="H4" s="2" t="str">
        <f aca="false">IF(G4="Không tìm thấy","Lệch","Khớp")</f>
        <v>Khớp</v>
      </c>
      <c r="I4" s="2" t="str">
        <f aca="false">IF(LEN(GiaoDich!A4)&lt;&gt;LEN(TRIM(GiaoDich!A4)),"Có","Không")</f>
        <v>Có</v>
      </c>
    </row>
    <row r="5" customFormat="false" ht="15" hidden="false" customHeight="false" outlineLevel="0" collapsed="false">
      <c r="A5" s="2" t="str">
        <f aca="false">TRIM(GiaoDich!A5)</f>
        <v>GD0004</v>
      </c>
      <c r="B5" s="3" t="n">
        <f aca="false">GiaoDich!B5</f>
        <v>46297</v>
      </c>
      <c r="C5" s="2" t="str">
        <f aca="false">TRIM(GiaoDich!C5)</f>
        <v>Thanh toán ăn uống</v>
      </c>
      <c r="D5" s="4" t="n">
        <f aca="false">GiaoDich!D5</f>
        <v>99000</v>
      </c>
      <c r="E5" s="4" t="n">
        <f aca="false">GiaoDich!E5</f>
        <v>792</v>
      </c>
      <c r="F5" s="2" t="str">
        <f aca="false">TRIM(GiaoDich!F5)</f>
        <v>Techcombank</v>
      </c>
      <c r="G5" s="2" t="str">
        <f aca="false">IFERROR(VLOOKUP(A5,NguoiDung!$A$2:$B$30,2,FALSE()),"Không tìm thấy")</f>
        <v>Phạm Đức Huy</v>
      </c>
      <c r="H5" s="2" t="str">
        <f aca="false">IF(G5="Không tìm thấy","Lệch","Khớp")</f>
        <v>Khớp</v>
      </c>
      <c r="I5" s="2" t="str">
        <f aca="false">IF(LEN(GiaoDich!A5)&lt;&gt;LEN(TRIM(GiaoDich!A5)),"Có","Không")</f>
        <v>Không</v>
      </c>
    </row>
    <row r="6" customFormat="false" ht="15" hidden="false" customHeight="false" outlineLevel="0" collapsed="false">
      <c r="A6" s="2" t="str">
        <f aca="false">TRIM(GiaoDich!A6)</f>
        <v>GD0005</v>
      </c>
      <c r="B6" s="3" t="n">
        <f aca="false">GiaoDich!B6</f>
        <v>46300</v>
      </c>
      <c r="C6" s="2" t="str">
        <f aca="false">TRIM(GiaoDich!C6)</f>
        <v>Chuyển tiền</v>
      </c>
      <c r="D6" s="4" t="n">
        <f aca="false">GiaoDich!D6</f>
        <v>313000</v>
      </c>
      <c r="E6" s="4" t="n">
        <f aca="false">GiaoDich!E6</f>
        <v>2191</v>
      </c>
      <c r="F6" s="2" t="str">
        <f aca="false">TRIM(GiaoDich!F6)</f>
        <v>MB Bank</v>
      </c>
      <c r="G6" s="2" t="str">
        <f aca="false">IFERROR(VLOOKUP(A6,NguoiDung!$A$2:$B$30,2,FALSE()),"Không tìm thấy")</f>
        <v>Võ Ngọc Lan</v>
      </c>
      <c r="H6" s="2" t="str">
        <f aca="false">IF(G6="Không tìm thấy","Lệch","Khớp")</f>
        <v>Khớp</v>
      </c>
      <c r="I6" s="2" t="str">
        <f aca="false">IF(LEN(GiaoDich!A6)&lt;&gt;LEN(TRIM(GiaoDich!A6)),"Có","Không")</f>
        <v>Không</v>
      </c>
    </row>
    <row r="7" customFormat="false" ht="15" hidden="false" customHeight="false" outlineLevel="0" collapsed="false">
      <c r="A7" s="2" t="str">
        <f aca="false">TRIM(GiaoDich!A7)</f>
        <v>GD0006</v>
      </c>
      <c r="B7" s="3" t="n">
        <f aca="false">GiaoDich!B7</f>
        <v>46302</v>
      </c>
      <c r="C7" s="2" t="str">
        <f aca="false">TRIM(GiaoDich!C7)</f>
        <v>Thanh toán ăn uống</v>
      </c>
      <c r="D7" s="4" t="n">
        <f aca="false">GiaoDich!D7</f>
        <v>35000</v>
      </c>
      <c r="E7" s="4" t="n">
        <f aca="false">GiaoDich!E7</f>
        <v>245</v>
      </c>
      <c r="F7" s="2" t="str">
        <f aca="false">TRIM(GiaoDich!F7)</f>
        <v>MB Bank</v>
      </c>
      <c r="G7" s="2" t="str">
        <f aca="false">IFERROR(VLOOKUP(A7,NguoiDung!$A$2:$B$30,2,FALSE()),"Không tìm thấy")</f>
        <v>Đặng Gia Hân</v>
      </c>
      <c r="H7" s="2" t="str">
        <f aca="false">IF(G7="Không tìm thấy","Lệch","Khớp")</f>
        <v>Khớp</v>
      </c>
      <c r="I7" s="2" t="str">
        <f aca="false">IF(LEN(GiaoDich!A7)&lt;&gt;LEN(TRIM(GiaoDich!A7)),"Có","Không")</f>
        <v>Không</v>
      </c>
    </row>
    <row r="8" customFormat="false" ht="15" hidden="false" customHeight="false" outlineLevel="0" collapsed="false">
      <c r="A8" s="2" t="str">
        <f aca="false">TRIM(GiaoDich!A8)</f>
        <v>GD0007</v>
      </c>
      <c r="B8" s="3" t="n">
        <f aca="false">GiaoDich!B8</f>
        <v>46302</v>
      </c>
      <c r="C8" s="2" t="str">
        <f aca="false">TRIM(GiaoDich!C8)</f>
        <v>Chuyển tiền</v>
      </c>
      <c r="D8" s="4" t="n">
        <f aca="false">GiaoDich!D8</f>
        <v>1546000</v>
      </c>
      <c r="E8" s="4" t="n">
        <f aca="false">GiaoDich!E8</f>
        <v>10822</v>
      </c>
      <c r="F8" s="2" t="str">
        <f aca="false">TRIM(GiaoDich!F8)</f>
        <v>MB Bank</v>
      </c>
      <c r="G8" s="2" t="str">
        <f aca="false">IFERROR(VLOOKUP(A8,NguoiDung!$A$2:$B$30,2,FALSE()),"Không tìm thấy")</f>
        <v>Bùi Thanh Tùng</v>
      </c>
      <c r="H8" s="2" t="str">
        <f aca="false">IF(G8="Không tìm thấy","Lệch","Khớp")</f>
        <v>Khớp</v>
      </c>
      <c r="I8" s="2" t="str">
        <f aca="false">IF(LEN(GiaoDich!A8)&lt;&gt;LEN(TRIM(GiaoDich!A8)),"Có","Không")</f>
        <v>Không</v>
      </c>
    </row>
    <row r="9" customFormat="false" ht="15" hidden="false" customHeight="false" outlineLevel="0" collapsed="false">
      <c r="A9" s="2" t="str">
        <f aca="false">TRIM(GiaoDich!A9)</f>
        <v>GD0008</v>
      </c>
      <c r="B9" s="3" t="n">
        <f aca="false">GiaoDich!B9</f>
        <v>46302</v>
      </c>
      <c r="C9" s="2" t="str">
        <f aca="false">TRIM(GiaoDich!C9)</f>
        <v>Thanh toán học phí</v>
      </c>
      <c r="D9" s="4" t="n">
        <f aca="false">GiaoDich!D9</f>
        <v>2113000</v>
      </c>
      <c r="E9" s="4" t="n">
        <f aca="false">GiaoDich!E9</f>
        <v>19017</v>
      </c>
      <c r="F9" s="2" t="str">
        <f aca="false">TRIM(GiaoDich!F9)</f>
        <v>Vietcombank</v>
      </c>
      <c r="G9" s="2" t="str">
        <f aca="false">IFERROR(VLOOKUP(A9,NguoiDung!$A$2:$B$30,2,FALSE()),"Không tìm thấy")</f>
        <v>Hoàng Khánh Linh</v>
      </c>
      <c r="H9" s="2" t="str">
        <f aca="false">IF(G9="Không tìm thấy","Lệch","Khớp")</f>
        <v>Khớp</v>
      </c>
      <c r="I9" s="2" t="str">
        <f aca="false">IF(LEN(GiaoDich!A9)&lt;&gt;LEN(TRIM(GiaoDich!A9)),"Có","Không")</f>
        <v>Có</v>
      </c>
    </row>
    <row r="10" customFormat="false" ht="15" hidden="false" customHeight="false" outlineLevel="0" collapsed="false">
      <c r="A10" s="2" t="str">
        <f aca="false">TRIM(GiaoDich!A10)</f>
        <v>GD0009</v>
      </c>
      <c r="B10" s="3" t="n">
        <f aca="false">GiaoDich!B10</f>
        <v>46305</v>
      </c>
      <c r="C10" s="2" t="str">
        <f aca="false">TRIM(GiaoDich!C10)</f>
        <v>Nạp điện thoại</v>
      </c>
      <c r="D10" s="4" t="n">
        <f aca="false">GiaoDich!D10</f>
        <v>140000</v>
      </c>
      <c r="E10" s="4" t="n">
        <f aca="false">GiaoDich!E10</f>
        <v>1260</v>
      </c>
      <c r="F10" s="2" t="str">
        <f aca="false">TRIM(GiaoDich!F10)</f>
        <v>Vietcombank</v>
      </c>
      <c r="G10" s="2" t="str">
        <f aca="false">IFERROR(VLOOKUP(A10,NguoiDung!$A$2:$B$30,2,FALSE()),"Không tìm thấy")</f>
        <v>Phan Anh Khoa</v>
      </c>
      <c r="H10" s="2" t="str">
        <f aca="false">IF(G10="Không tìm thấy","Lệch","Khớp")</f>
        <v>Khớp</v>
      </c>
      <c r="I10" s="2" t="str">
        <f aca="false">IF(LEN(GiaoDich!A10)&lt;&gt;LEN(TRIM(GiaoDich!A10)),"Có","Không")</f>
        <v>Không</v>
      </c>
    </row>
    <row r="11" customFormat="false" ht="15" hidden="false" customHeight="false" outlineLevel="0" collapsed="false">
      <c r="A11" s="2" t="str">
        <f aca="false">TRIM(GiaoDich!A11)</f>
        <v>GD0010</v>
      </c>
      <c r="B11" s="3" t="n">
        <f aca="false">GiaoDich!B11</f>
        <v>46307</v>
      </c>
      <c r="C11" s="2" t="str">
        <f aca="false">TRIM(GiaoDich!C11)</f>
        <v>Thanh toán ăn uống</v>
      </c>
      <c r="D11" s="4" t="n">
        <f aca="false">GiaoDich!D11</f>
        <v>116000</v>
      </c>
      <c r="E11" s="4" t="n">
        <f aca="false">GiaoDich!E11</f>
        <v>1160</v>
      </c>
      <c r="F11" s="2" t="str">
        <f aca="false">TRIM(GiaoDich!F11)</f>
        <v>BIDV</v>
      </c>
      <c r="G11" s="2" t="str">
        <f aca="false">IFERROR(VLOOKUP(A11,NguoiDung!$A$2:$B$30,2,FALSE()),"Không tìm thấy")</f>
        <v>Đỗ Mai Phương</v>
      </c>
      <c r="H11" s="2" t="str">
        <f aca="false">IF(G11="Không tìm thấy","Lệch","Khớp")</f>
        <v>Khớp</v>
      </c>
      <c r="I11" s="2" t="str">
        <f aca="false">IF(LEN(GiaoDich!A11)&lt;&gt;LEN(TRIM(GiaoDich!A11)),"Có","Không")</f>
        <v>Không</v>
      </c>
    </row>
    <row r="12" customFormat="false" ht="15" hidden="false" customHeight="false" outlineLevel="0" collapsed="false">
      <c r="A12" s="2" t="str">
        <f aca="false">TRIM(GiaoDich!A12)</f>
        <v>GD0011</v>
      </c>
      <c r="B12" s="3" t="n">
        <f aca="false">GiaoDich!B12</f>
        <v>46308</v>
      </c>
      <c r="C12" s="2" t="str">
        <f aca="false">TRIM(GiaoDich!C12)</f>
        <v>Nạp điện thoại</v>
      </c>
      <c r="D12" s="4" t="n">
        <f aca="false">GiaoDich!D12</f>
        <v>70000</v>
      </c>
      <c r="E12" s="4" t="n">
        <f aca="false">GiaoDich!E12</f>
        <v>700</v>
      </c>
      <c r="F12" s="2" t="str">
        <f aca="false">TRIM(GiaoDich!F12)</f>
        <v>BIDV</v>
      </c>
      <c r="G12" s="2" t="str">
        <f aca="false">IFERROR(VLOOKUP(A12,NguoiDung!$A$2:$B$30,2,FALSE()),"Không tìm thấy")</f>
        <v>Ngô Hải Đăng</v>
      </c>
      <c r="H12" s="2" t="str">
        <f aca="false">IF(G12="Không tìm thấy","Lệch","Khớp")</f>
        <v>Khớp</v>
      </c>
      <c r="I12" s="2" t="str">
        <f aca="false">IF(LEN(GiaoDich!A12)&lt;&gt;LEN(TRIM(GiaoDich!A12)),"Có","Không")</f>
        <v>Không</v>
      </c>
    </row>
    <row r="13" customFormat="false" ht="15" hidden="false" customHeight="false" outlineLevel="0" collapsed="false">
      <c r="A13" s="2" t="str">
        <f aca="false">TRIM(GiaoDich!A13)</f>
        <v>GD0012</v>
      </c>
      <c r="B13" s="3" t="n">
        <f aca="false">GiaoDich!B13</f>
        <v>46311</v>
      </c>
      <c r="C13" s="2" t="str">
        <f aca="false">TRIM(GiaoDich!C13)</f>
        <v>Chuyển tiền</v>
      </c>
      <c r="D13" s="4" t="n">
        <f aca="false">GiaoDich!D13</f>
        <v>1490000</v>
      </c>
      <c r="E13" s="4" t="n">
        <f aca="false">GiaoDich!E13</f>
        <v>11920</v>
      </c>
      <c r="F13" s="2" t="str">
        <f aca="false">TRIM(GiaoDich!F13)</f>
        <v>Techcombank</v>
      </c>
      <c r="G13" s="2" t="str">
        <f aca="false">IFERROR(VLOOKUP(A13,NguoiDung!$A$2:$B$30,2,FALSE()),"Không tìm thấy")</f>
        <v>Dương Bảo Châu</v>
      </c>
      <c r="H13" s="2" t="str">
        <f aca="false">IF(G13="Không tìm thấy","Lệch","Khớp")</f>
        <v>Khớp</v>
      </c>
      <c r="I13" s="2" t="str">
        <f aca="false">IF(LEN(GiaoDich!A13)&lt;&gt;LEN(TRIM(GiaoDich!A13)),"Có","Không")</f>
        <v>Có</v>
      </c>
    </row>
    <row r="14" customFormat="false" ht="15" hidden="false" customHeight="false" outlineLevel="0" collapsed="false">
      <c r="A14" s="2" t="str">
        <f aca="false">TRIM(GiaoDich!A14)</f>
        <v>GD0013</v>
      </c>
      <c r="B14" s="3" t="n">
        <f aca="false">GiaoDich!B14</f>
        <v>46312</v>
      </c>
      <c r="C14" s="2" t="str">
        <f aca="false">TRIM(GiaoDich!C14)</f>
        <v>Chuyển tiền</v>
      </c>
      <c r="D14" s="4" t="n">
        <f aca="false">GiaoDich!D14</f>
        <v>812000</v>
      </c>
      <c r="E14" s="4" t="n">
        <f aca="false">GiaoDich!E14</f>
        <v>5684</v>
      </c>
      <c r="F14" s="2" t="str">
        <f aca="false">TRIM(GiaoDich!F14)</f>
        <v>MB Bank</v>
      </c>
      <c r="G14" s="2" t="str">
        <f aca="false">IFERROR(VLOOKUP(A14,NguoiDung!$A$2:$B$30,2,FALSE()),"Không tìm thấy")</f>
        <v>Lý Trúc Quỳnh</v>
      </c>
      <c r="H14" s="2" t="str">
        <f aca="false">IF(G14="Không tìm thấy","Lệch","Khớp")</f>
        <v>Khớp</v>
      </c>
      <c r="I14" s="2" t="str">
        <f aca="false">IF(LEN(GiaoDich!A14)&lt;&gt;LEN(TRIM(GiaoDich!A14)),"Có","Không")</f>
        <v>Không</v>
      </c>
    </row>
    <row r="15" customFormat="false" ht="15" hidden="false" customHeight="false" outlineLevel="0" collapsed="false">
      <c r="A15" s="2" t="str">
        <f aca="false">TRIM(GiaoDich!A15)</f>
        <v>GD0014</v>
      </c>
      <c r="B15" s="3" t="n">
        <f aca="false">GiaoDich!B15</f>
        <v>46314</v>
      </c>
      <c r="C15" s="2" t="str">
        <f aca="false">TRIM(GiaoDich!C15)</f>
        <v>Nạp điện thoại</v>
      </c>
      <c r="D15" s="4" t="n">
        <f aca="false">GiaoDich!D15</f>
        <v>138000</v>
      </c>
      <c r="E15" s="4" t="n">
        <f aca="false">GiaoDich!E15</f>
        <v>966</v>
      </c>
      <c r="F15" s="2" t="str">
        <f aca="false">TRIM(GiaoDich!F15)</f>
        <v>MB Bank</v>
      </c>
      <c r="G15" s="2" t="str">
        <f aca="false">IFERROR(VLOOKUP(A15,NguoiDung!$A$2:$B$30,2,FALSE()),"Không tìm thấy")</f>
        <v>Huỳnh Tấn Phát</v>
      </c>
      <c r="H15" s="2" t="str">
        <f aca="false">IF(G15="Không tìm thấy","Lệch","Khớp")</f>
        <v>Khớp</v>
      </c>
      <c r="I15" s="2" t="str">
        <f aca="false">IF(LEN(GiaoDich!A15)&lt;&gt;LEN(TRIM(GiaoDich!A15)),"Có","Không")</f>
        <v>Không</v>
      </c>
    </row>
    <row r="16" customFormat="false" ht="15" hidden="false" customHeight="false" outlineLevel="0" collapsed="false">
      <c r="A16" s="2" t="str">
        <f aca="false">TRIM(GiaoDich!A16)</f>
        <v>GD0015</v>
      </c>
      <c r="B16" s="3" t="n">
        <f aca="false">GiaoDich!B16</f>
        <v>46314</v>
      </c>
      <c r="C16" s="2" t="str">
        <f aca="false">TRIM(GiaoDich!C16)</f>
        <v>Nạp điện thoại</v>
      </c>
      <c r="D16" s="4" t="n">
        <f aca="false">GiaoDich!D16</f>
        <v>149000</v>
      </c>
      <c r="E16" s="4" t="n">
        <f aca="false">GiaoDich!E16</f>
        <v>1341</v>
      </c>
      <c r="F16" s="2" t="str">
        <f aca="false">TRIM(GiaoDich!F16)</f>
        <v>Vietcombank</v>
      </c>
      <c r="G16" s="2" t="str">
        <f aca="false">IFERROR(VLOOKUP(A16,NguoiDung!$A$2:$B$30,2,FALSE()),"Không tìm thấy")</f>
        <v>Trịnh Diễm My</v>
      </c>
      <c r="H16" s="2" t="str">
        <f aca="false">IF(G16="Không tìm thấy","Lệch","Khớp")</f>
        <v>Khớp</v>
      </c>
      <c r="I16" s="2" t="str">
        <f aca="false">IF(LEN(GiaoDich!A16)&lt;&gt;LEN(TRIM(GiaoDich!A16)),"Có","Không")</f>
        <v>Không</v>
      </c>
    </row>
    <row r="17" customFormat="false" ht="15" hidden="false" customHeight="false" outlineLevel="0" collapsed="false">
      <c r="A17" s="2" t="str">
        <f aca="false">TRIM(GiaoDich!A17)</f>
        <v>GD0016</v>
      </c>
      <c r="B17" s="3" t="n">
        <f aca="false">GiaoDich!B17</f>
        <v>46315</v>
      </c>
      <c r="C17" s="2" t="str">
        <f aca="false">TRIM(GiaoDich!C17)</f>
        <v>Thanh toán ăn uống</v>
      </c>
      <c r="D17" s="4" t="n">
        <f aca="false">GiaoDich!D17</f>
        <v>35000</v>
      </c>
      <c r="E17" s="4" t="n">
        <f aca="false">GiaoDich!E17</f>
        <v>350</v>
      </c>
      <c r="F17" s="2" t="str">
        <f aca="false">TRIM(GiaoDich!F17)</f>
        <v>BIDV</v>
      </c>
      <c r="G17" s="2" t="str">
        <f aca="false">IFERROR(VLOOKUP(A17,NguoiDung!$A$2:$B$30,2,FALSE()),"Không tìm thấy")</f>
        <v>Nguyễn Minh Anh</v>
      </c>
      <c r="H17" s="2" t="str">
        <f aca="false">IF(G17="Không tìm thấy","Lệch","Khớp")</f>
        <v>Khớp</v>
      </c>
      <c r="I17" s="2" t="str">
        <f aca="false">IF(LEN(GiaoDich!A17)&lt;&gt;LEN(TRIM(GiaoDich!A17)),"Có","Không")</f>
        <v>Không</v>
      </c>
    </row>
    <row r="18" customFormat="false" ht="15" hidden="false" customHeight="false" outlineLevel="0" collapsed="false">
      <c r="A18" s="2" t="str">
        <f aca="false">TRIM(GiaoDich!A18)</f>
        <v>GD0017</v>
      </c>
      <c r="B18" s="3" t="n">
        <f aca="false">GiaoDich!B18</f>
        <v>46317</v>
      </c>
      <c r="C18" s="2" t="str">
        <f aca="false">TRIM(GiaoDich!C18)</f>
        <v>Thanh toán học phí</v>
      </c>
      <c r="D18" s="4" t="n">
        <f aca="false">GiaoDich!D18</f>
        <v>1566000</v>
      </c>
      <c r="E18" s="4" t="n">
        <f aca="false">GiaoDich!E18</f>
        <v>14094</v>
      </c>
      <c r="F18" s="2" t="str">
        <f aca="false">TRIM(GiaoDich!F18)</f>
        <v>Vietcombank</v>
      </c>
      <c r="G18" s="2" t="str">
        <f aca="false">IFERROR(VLOOKUP(A18,NguoiDung!$A$2:$B$30,2,FALSE()),"Không tìm thấy")</f>
        <v>Không tìm thấy</v>
      </c>
      <c r="H18" s="2" t="str">
        <f aca="false">IF(G18="Không tìm thấy","Lệch","Khớp")</f>
        <v>Lệch</v>
      </c>
      <c r="I18" s="2" t="str">
        <f aca="false">IF(LEN(GiaoDich!A18)&lt;&gt;LEN(TRIM(GiaoDich!A18)),"Có","Không")</f>
        <v>Có</v>
      </c>
    </row>
    <row r="19" customFormat="false" ht="15" hidden="false" customHeight="false" outlineLevel="0" collapsed="false">
      <c r="A19" s="2" t="str">
        <f aca="false">TRIM(GiaoDich!A19)</f>
        <v>GD0018</v>
      </c>
      <c r="B19" s="3" t="n">
        <f aca="false">GiaoDich!B19</f>
        <v>46319</v>
      </c>
      <c r="C19" s="2" t="str">
        <f aca="false">TRIM(GiaoDich!C19)</f>
        <v>Thanh toán học phí</v>
      </c>
      <c r="D19" s="4" t="n">
        <f aca="false">GiaoDich!D19</f>
        <v>5403000</v>
      </c>
      <c r="E19" s="4" t="n">
        <f aca="false">GiaoDich!E19</f>
        <v>48627</v>
      </c>
      <c r="F19" s="2" t="str">
        <f aca="false">TRIM(GiaoDich!F19)</f>
        <v>Vietcombank</v>
      </c>
      <c r="G19" s="2" t="str">
        <f aca="false">IFERROR(VLOOKUP(A19,NguoiDung!$A$2:$B$30,2,FALSE()),"Không tìm thấy")</f>
        <v>Lê Thu Hà</v>
      </c>
      <c r="H19" s="2" t="str">
        <f aca="false">IF(G19="Không tìm thấy","Lệch","Khớp")</f>
        <v>Khớp</v>
      </c>
      <c r="I19" s="2" t="str">
        <f aca="false">IF(LEN(GiaoDich!A19)&lt;&gt;LEN(TRIM(GiaoDich!A19)),"Có","Không")</f>
        <v>Không</v>
      </c>
    </row>
    <row r="20" customFormat="false" ht="15" hidden="false" customHeight="false" outlineLevel="0" collapsed="false">
      <c r="A20" s="2" t="str">
        <f aca="false">TRIM(GiaoDich!A20)</f>
        <v>GD0019</v>
      </c>
      <c r="B20" s="3" t="n">
        <f aca="false">GiaoDich!B20</f>
        <v>46319</v>
      </c>
      <c r="C20" s="2" t="str">
        <f aca="false">TRIM(GiaoDich!C20)</f>
        <v>Chuyển tiền</v>
      </c>
      <c r="D20" s="4" t="n">
        <f aca="false">GiaoDich!D20</f>
        <v>1291000</v>
      </c>
      <c r="E20" s="4" t="n">
        <f aca="false">GiaoDich!E20</f>
        <v>12910</v>
      </c>
      <c r="F20" s="2" t="str">
        <f aca="false">TRIM(GiaoDich!F20)</f>
        <v>BIDV</v>
      </c>
      <c r="G20" s="2" t="str">
        <f aca="false">IFERROR(VLOOKUP(A20,NguoiDung!$A$2:$B$30,2,FALSE()),"Không tìm thấy")</f>
        <v>Phạm Đức Huy</v>
      </c>
      <c r="H20" s="2" t="str">
        <f aca="false">IF(G20="Không tìm thấy","Lệch","Khớp")</f>
        <v>Khớp</v>
      </c>
      <c r="I20" s="2" t="str">
        <f aca="false">IF(LEN(GiaoDich!A20)&lt;&gt;LEN(TRIM(GiaoDich!A20)),"Có","Không")</f>
        <v>Không</v>
      </c>
    </row>
    <row r="21" customFormat="false" ht="15" hidden="false" customHeight="false" outlineLevel="0" collapsed="false">
      <c r="A21" s="2" t="str">
        <f aca="false">TRIM(GiaoDich!A21)</f>
        <v>GD0020</v>
      </c>
      <c r="B21" s="3" t="n">
        <f aca="false">GiaoDich!B21</f>
        <v>46320</v>
      </c>
      <c r="C21" s="2" t="str">
        <f aca="false">TRIM(GiaoDich!C21)</f>
        <v>Thanh toán học phí</v>
      </c>
      <c r="D21" s="4" t="n">
        <f aca="false">GiaoDich!D21</f>
        <v>1779000</v>
      </c>
      <c r="E21" s="4" t="n">
        <f aca="false">GiaoDich!E21</f>
        <v>16011</v>
      </c>
      <c r="F21" s="2" t="str">
        <f aca="false">TRIM(GiaoDich!F21)</f>
        <v>Vietcombank</v>
      </c>
      <c r="G21" s="2" t="str">
        <f aca="false">IFERROR(VLOOKUP(A21,NguoiDung!$A$2:$B$30,2,FALSE()),"Không tìm thấy")</f>
        <v>Võ Ngọc Lan</v>
      </c>
      <c r="H21" s="2" t="str">
        <f aca="false">IF(G21="Không tìm thấy","Lệch","Khớp")</f>
        <v>Khớp</v>
      </c>
      <c r="I21" s="2" t="str">
        <f aca="false">IF(LEN(GiaoDich!A21)&lt;&gt;LEN(TRIM(GiaoDich!A21)),"Có","Không")</f>
        <v>Không</v>
      </c>
    </row>
    <row r="22" customFormat="false" ht="15" hidden="false" customHeight="false" outlineLevel="0" collapsed="false">
      <c r="A22" s="2" t="str">
        <f aca="false">TRIM(GiaoDich!A22)</f>
        <v>GD0021</v>
      </c>
      <c r="B22" s="3" t="n">
        <f aca="false">GiaoDich!B22</f>
        <v>46320</v>
      </c>
      <c r="C22" s="2" t="str">
        <f aca="false">TRIM(GiaoDich!C22)</f>
        <v>Thanh toán học phí</v>
      </c>
      <c r="D22" s="4" t="n">
        <f aca="false">GiaoDich!D22</f>
        <v>5019000</v>
      </c>
      <c r="E22" s="4" t="n">
        <f aca="false">GiaoDich!E22</f>
        <v>45171</v>
      </c>
      <c r="F22" s="2" t="str">
        <f aca="false">TRIM(GiaoDich!F22)</f>
        <v>Vietcombank</v>
      </c>
      <c r="G22" s="2" t="str">
        <f aca="false">IFERROR(VLOOKUP(A22,NguoiDung!$A$2:$B$30,2,FALSE()),"Không tìm thấy")</f>
        <v>Đặng Gia Hân</v>
      </c>
      <c r="H22" s="2" t="str">
        <f aca="false">IF(G22="Không tìm thấy","Lệch","Khớp")</f>
        <v>Khớp</v>
      </c>
      <c r="I22" s="2" t="str">
        <f aca="false">IF(LEN(GiaoDich!A22)&lt;&gt;LEN(TRIM(GiaoDich!A22)),"Có","Không")</f>
        <v>Không</v>
      </c>
    </row>
    <row r="23" customFormat="false" ht="15" hidden="false" customHeight="false" outlineLevel="0" collapsed="false">
      <c r="A23" s="2" t="str">
        <f aca="false">TRIM(GiaoDich!A23)</f>
        <v>GD0022</v>
      </c>
      <c r="B23" s="3" t="n">
        <f aca="false">GiaoDich!B23</f>
        <v>46321</v>
      </c>
      <c r="C23" s="2" t="str">
        <f aca="false">TRIM(GiaoDich!C23)</f>
        <v>Chuyển tiền</v>
      </c>
      <c r="D23" s="4" t="n">
        <f aca="false">GiaoDich!D23</f>
        <v>698000</v>
      </c>
      <c r="E23" s="4" t="n">
        <f aca="false">GiaoDich!E23</f>
        <v>4886</v>
      </c>
      <c r="F23" s="2" t="str">
        <f aca="false">TRIM(GiaoDich!F23)</f>
        <v>MB Bank</v>
      </c>
      <c r="G23" s="2" t="str">
        <f aca="false">IFERROR(VLOOKUP(A23,NguoiDung!$A$2:$B$30,2,FALSE()),"Không tìm thấy")</f>
        <v>Bùi Thanh Tùng</v>
      </c>
      <c r="H23" s="2" t="str">
        <f aca="false">IF(G23="Không tìm thấy","Lệch","Khớp")</f>
        <v>Khớp</v>
      </c>
      <c r="I23" s="2" t="str">
        <f aca="false">IF(LEN(GiaoDich!A23)&lt;&gt;LEN(TRIM(GiaoDich!A23)),"Có","Không")</f>
        <v>Có</v>
      </c>
    </row>
    <row r="24" customFormat="false" ht="15" hidden="false" customHeight="false" outlineLevel="0" collapsed="false">
      <c r="A24" s="2" t="str">
        <f aca="false">TRIM(GiaoDich!A24)</f>
        <v>GD0023</v>
      </c>
      <c r="B24" s="3" t="n">
        <f aca="false">GiaoDich!B24</f>
        <v>46322</v>
      </c>
      <c r="C24" s="2" t="str">
        <f aca="false">TRIM(GiaoDich!C24)</f>
        <v>Chuyển tiền</v>
      </c>
      <c r="D24" s="4" t="n">
        <f aca="false">GiaoDich!D24</f>
        <v>435000</v>
      </c>
      <c r="E24" s="4" t="n">
        <f aca="false">GiaoDich!E24</f>
        <v>3915</v>
      </c>
      <c r="F24" s="2" t="str">
        <f aca="false">TRIM(GiaoDich!F24)</f>
        <v>Vietcombank</v>
      </c>
      <c r="G24" s="2" t="str">
        <f aca="false">IFERROR(VLOOKUP(A24,NguoiDung!$A$2:$B$30,2,FALSE()),"Không tìm thấy")</f>
        <v>Hoàng Khánh Linh</v>
      </c>
      <c r="H24" s="2" t="str">
        <f aca="false">IF(G24="Không tìm thấy","Lệch","Khớp")</f>
        <v>Khớp</v>
      </c>
      <c r="I24" s="2" t="str">
        <f aca="false">IF(LEN(GiaoDich!A24)&lt;&gt;LEN(TRIM(GiaoDich!A24)),"Có","Không")</f>
        <v>Không</v>
      </c>
    </row>
    <row r="25" customFormat="false" ht="15" hidden="false" customHeight="false" outlineLevel="0" collapsed="false">
      <c r="A25" s="2" t="str">
        <f aca="false">TRIM(GiaoDich!A25)</f>
        <v>GD0024</v>
      </c>
      <c r="B25" s="3" t="n">
        <f aca="false">GiaoDich!B25</f>
        <v>46322</v>
      </c>
      <c r="C25" s="2" t="str">
        <f aca="false">TRIM(GiaoDich!C25)</f>
        <v>Thanh toán ăn uống</v>
      </c>
      <c r="D25" s="4" t="n">
        <f aca="false">GiaoDich!D25</f>
        <v>67000</v>
      </c>
      <c r="E25" s="4" t="n">
        <f aca="false">GiaoDich!E25</f>
        <v>670</v>
      </c>
      <c r="F25" s="2" t="str">
        <f aca="false">TRIM(GiaoDich!F25)</f>
        <v>BIDV</v>
      </c>
      <c r="G25" s="2" t="str">
        <f aca="false">IFERROR(VLOOKUP(A25,NguoiDung!$A$2:$B$30,2,FALSE()),"Không tìm thấy")</f>
        <v>Phan Anh Khoa</v>
      </c>
      <c r="H25" s="2" t="str">
        <f aca="false">IF(G25="Không tìm thấy","Lệch","Khớp")</f>
        <v>Khớp</v>
      </c>
      <c r="I25" s="2" t="str">
        <f aca="false">IF(LEN(GiaoDich!A25)&lt;&gt;LEN(TRIM(GiaoDich!A25)),"Có","Không")</f>
        <v>Không</v>
      </c>
    </row>
    <row r="26" customFormat="false" ht="15" hidden="false" customHeight="false" outlineLevel="0" collapsed="false">
      <c r="A26" s="2" t="str">
        <f aca="false">TRIM(GiaoDich!A26)</f>
        <v>GD0025</v>
      </c>
      <c r="B26" s="3" t="n">
        <f aca="false">GiaoDich!B26</f>
        <v>46325</v>
      </c>
      <c r="C26" s="2" t="str">
        <f aca="false">TRIM(GiaoDich!C26)</f>
        <v>Thanh toán học phí</v>
      </c>
      <c r="D26" s="4" t="n">
        <f aca="false">GiaoDich!D26</f>
        <v>2306000</v>
      </c>
      <c r="E26" s="4" t="n">
        <f aca="false">GiaoDich!E26</f>
        <v>20754</v>
      </c>
      <c r="F26" s="2" t="str">
        <f aca="false">TRIM(GiaoDich!F26)</f>
        <v>Vietcombank</v>
      </c>
      <c r="G26" s="2" t="str">
        <f aca="false">IFERROR(VLOOKUP(A26,NguoiDung!$A$2:$B$30,2,FALSE()),"Không tìm thấy")</f>
        <v>Đỗ Mai Phương</v>
      </c>
      <c r="H26" s="2" t="str">
        <f aca="false">IF(G26="Không tìm thấy","Lệch","Khớp")</f>
        <v>Khớp</v>
      </c>
      <c r="I26" s="2" t="str">
        <f aca="false">IF(LEN(GiaoDich!A26)&lt;&gt;LEN(TRIM(GiaoDich!A26)),"Có","Không")</f>
        <v>Không</v>
      </c>
    </row>
    <row r="27" customFormat="false" ht="15" hidden="false" customHeight="false" outlineLevel="0" collapsed="false">
      <c r="A27" s="2" t="str">
        <f aca="false">TRIM(GiaoDich!A27)</f>
        <v>GD0026</v>
      </c>
      <c r="B27" s="3" t="n">
        <f aca="false">GiaoDich!B27</f>
        <v>46325</v>
      </c>
      <c r="C27" s="2" t="str">
        <f aca="false">TRIM(GiaoDich!C27)</f>
        <v>Nạp điện thoại</v>
      </c>
      <c r="D27" s="4" t="n">
        <f aca="false">GiaoDich!D27</f>
        <v>58000</v>
      </c>
      <c r="E27" s="4" t="n">
        <f aca="false">GiaoDich!E27</f>
        <v>522</v>
      </c>
      <c r="F27" s="2" t="str">
        <f aca="false">TRIM(GiaoDich!F27)</f>
        <v>Vietcombank</v>
      </c>
      <c r="G27" s="2" t="str">
        <f aca="false">IFERROR(VLOOKUP(A27,NguoiDung!$A$2:$B$30,2,FALSE()),"Không tìm thấy")</f>
        <v>Ngô Hải Đăng</v>
      </c>
      <c r="H27" s="2" t="str">
        <f aca="false">IF(G27="Không tìm thấy","Lệch","Khớp")</f>
        <v>Khớp</v>
      </c>
      <c r="I27" s="2" t="str">
        <f aca="false">IF(LEN(GiaoDich!A27)&lt;&gt;LEN(TRIM(GiaoDich!A27)),"Có","Không")</f>
        <v>Không</v>
      </c>
    </row>
    <row r="28" customFormat="false" ht="15" hidden="false" customHeight="false" outlineLevel="0" collapsed="false">
      <c r="A28" s="2" t="str">
        <f aca="false">TRIM(GiaoDich!A28)</f>
        <v>GD0027</v>
      </c>
      <c r="B28" s="3" t="n">
        <f aca="false">GiaoDich!B28</f>
        <v>46325</v>
      </c>
      <c r="C28" s="2" t="str">
        <f aca="false">TRIM(GiaoDich!C28)</f>
        <v>Nạp điện thoại</v>
      </c>
      <c r="D28" s="4" t="n">
        <f aca="false">GiaoDich!D28</f>
        <v>158000</v>
      </c>
      <c r="E28" s="4" t="n">
        <f aca="false">GiaoDich!E28</f>
        <v>1422</v>
      </c>
      <c r="F28" s="2" t="str">
        <f aca="false">TRIM(GiaoDich!F28)</f>
        <v>Vietcombank</v>
      </c>
      <c r="G28" s="2" t="str">
        <f aca="false">IFERROR(VLOOKUP(A28,NguoiDung!$A$2:$B$30,2,FALSE()),"Không tìm thấy")</f>
        <v>Dương Bảo Châu</v>
      </c>
      <c r="H28" s="2" t="str">
        <f aca="false">IF(G28="Không tìm thấy","Lệch","Khớp")</f>
        <v>Khớp</v>
      </c>
      <c r="I28" s="2" t="str">
        <f aca="false">IF(LEN(GiaoDich!A28)&lt;&gt;LEN(TRIM(GiaoDich!A28)),"Có","Không")</f>
        <v>Có</v>
      </c>
    </row>
    <row r="29" customFormat="false" ht="15" hidden="false" customHeight="false" outlineLevel="0" collapsed="false">
      <c r="A29" s="2" t="str">
        <f aca="false">TRIM(GiaoDich!A29)</f>
        <v>GD0028</v>
      </c>
      <c r="B29" s="3" t="n">
        <f aca="false">GiaoDich!B29</f>
        <v>46326</v>
      </c>
      <c r="C29" s="2" t="str">
        <f aca="false">TRIM(GiaoDich!C29)</f>
        <v>Chuyển tiền</v>
      </c>
      <c r="D29" s="4" t="n">
        <f aca="false">GiaoDich!D29</f>
        <v>1749000</v>
      </c>
      <c r="E29" s="4" t="n">
        <f aca="false">GiaoDich!E29</f>
        <v>13992</v>
      </c>
      <c r="F29" s="2" t="str">
        <f aca="false">TRIM(GiaoDich!F29)</f>
        <v>Techcombank</v>
      </c>
      <c r="G29" s="2" t="str">
        <f aca="false">IFERROR(VLOOKUP(A29,NguoiDung!$A$2:$B$30,2,FALSE()),"Không tìm thấy")</f>
        <v>Lý Trúc Quỳnh</v>
      </c>
      <c r="H29" s="2" t="str">
        <f aca="false">IF(G29="Không tìm thấy","Lệch","Khớp")</f>
        <v>Khớp</v>
      </c>
      <c r="I29" s="2" t="str">
        <f aca="false">IF(LEN(GiaoDich!A29)&lt;&gt;LEN(TRIM(GiaoDich!A29)),"Có","Không")</f>
        <v>Không</v>
      </c>
    </row>
    <row r="30" customFormat="false" ht="15" hidden="false" customHeight="false" outlineLevel="0" collapsed="false">
      <c r="A30" s="2" t="str">
        <f aca="false">TRIM(GiaoDich!A30)</f>
        <v>GD0029</v>
      </c>
      <c r="B30" s="3" t="n">
        <f aca="false">GiaoDich!B30</f>
        <v>46326</v>
      </c>
      <c r="C30" s="2" t="str">
        <f aca="false">TRIM(GiaoDich!C30)</f>
        <v>Nạp điện thoại</v>
      </c>
      <c r="D30" s="4" t="n">
        <f aca="false">GiaoDich!D30</f>
        <v>175000</v>
      </c>
      <c r="E30" s="4" t="n">
        <f aca="false">GiaoDich!E30</f>
        <v>1400</v>
      </c>
      <c r="F30" s="2" t="str">
        <f aca="false">TRIM(GiaoDich!F30)</f>
        <v>Techcombank</v>
      </c>
      <c r="G30" s="2" t="str">
        <f aca="false">IFERROR(VLOOKUP(A30,NguoiDung!$A$2:$B$30,2,FALSE()),"Không tìm thấy")</f>
        <v>Huỳnh Tấn Phát</v>
      </c>
      <c r="H30" s="2" t="str">
        <f aca="false">IF(G30="Không tìm thấy","Lệch","Khớp")</f>
        <v>Khớp</v>
      </c>
      <c r="I30" s="2" t="str">
        <f aca="false">IF(LEN(GiaoDich!A30)&lt;&gt;LEN(TRIM(GiaoDich!A30)),"Có","Không")</f>
        <v>Không</v>
      </c>
    </row>
    <row r="31" customFormat="false" ht="15" hidden="false" customHeight="false" outlineLevel="0" collapsed="false">
      <c r="A31" s="2" t="str">
        <f aca="false">TRIM(GiaoDich!A31)</f>
        <v>GD0030</v>
      </c>
      <c r="B31" s="3" t="n">
        <f aca="false">GiaoDich!B31</f>
        <v>46326</v>
      </c>
      <c r="C31" s="2" t="str">
        <f aca="false">TRIM(GiaoDich!C31)</f>
        <v>Thanh toán ăn uống</v>
      </c>
      <c r="D31" s="4" t="n">
        <f aca="false">GiaoDich!D31</f>
        <v>113000</v>
      </c>
      <c r="E31" s="4" t="n">
        <f aca="false">GiaoDich!E31</f>
        <v>791</v>
      </c>
      <c r="F31" s="2" t="str">
        <f aca="false">TRIM(GiaoDich!F31)</f>
        <v>MB Bank</v>
      </c>
      <c r="G31" s="2" t="str">
        <f aca="false">IFERROR(VLOOKUP(A31,NguoiDung!$A$2:$B$30,2,FALSE()),"Không tìm thấy")</f>
        <v>Trịnh Diễm My</v>
      </c>
      <c r="H31" s="2" t="str">
        <f aca="false">IF(G31="Không tìm thấy","Lệch","Khớp")</f>
        <v>Khớp</v>
      </c>
      <c r="I31" s="2" t="str">
        <f aca="false">IF(LEN(GiaoDich!A31)&lt;&gt;LEN(TRIM(GiaoDich!A31)),"Có","Không")</f>
        <v>Không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31.5" hidden="false" customHeight="true" outlineLevel="0" collapsed="false">
      <c r="A1" s="1" t="s">
        <v>68</v>
      </c>
      <c r="B1" s="1" t="s">
        <v>69</v>
      </c>
    </row>
    <row r="2" customFormat="false" ht="15" hidden="false" customHeight="false" outlineLevel="0" collapsed="false">
      <c r="A2" s="2" t="s">
        <v>70</v>
      </c>
      <c r="B2" s="4" t="n">
        <f aca="false">COUNTA(DoiSoat!A2:A31)</f>
        <v>30</v>
      </c>
    </row>
    <row r="3" customFormat="false" ht="15" hidden="false" customHeight="false" outlineLevel="0" collapsed="false">
      <c r="A3" s="2" t="s">
        <v>71</v>
      </c>
      <c r="B3" s="4" t="n">
        <f aca="false">COUNTIF(DoiSoat!H2:H31,"Khớp")</f>
        <v>29</v>
      </c>
    </row>
    <row r="4" customFormat="false" ht="15" hidden="false" customHeight="false" outlineLevel="0" collapsed="false">
      <c r="A4" s="2" t="s">
        <v>72</v>
      </c>
      <c r="B4" s="4" t="n">
        <f aca="false">COUNTIF(DoiSoat!H2:H31,"Lệch")</f>
        <v>1</v>
      </c>
    </row>
    <row r="5" customFormat="false" ht="15" hidden="false" customHeight="false" outlineLevel="0" collapsed="false">
      <c r="A5" s="2" t="s">
        <v>73</v>
      </c>
      <c r="B5" s="5" t="n">
        <f aca="false">B3/B2</f>
        <v>0.966666666666667</v>
      </c>
    </row>
    <row r="6" customFormat="false" ht="15" hidden="false" customHeight="false" outlineLevel="0" collapsed="false">
      <c r="A6" s="2" t="s">
        <v>74</v>
      </c>
      <c r="B6" s="4" t="n">
        <f aca="false">COUNTIF(DoiSoat!I2:I31,"Có")</f>
        <v>6</v>
      </c>
    </row>
    <row r="7" customFormat="false" ht="15" hidden="false" customHeight="false" outlineLevel="0" collapsed="false">
      <c r="A7" s="2" t="s">
        <v>75</v>
      </c>
      <c r="B7" s="4" t="n">
        <f aca="false">SUM(DoiSoat!D2:D31)</f>
        <v>31327000</v>
      </c>
    </row>
    <row r="8" customFormat="false" ht="15" hidden="false" customHeight="false" outlineLevel="0" collapsed="false">
      <c r="A8" s="2" t="s">
        <v>76</v>
      </c>
      <c r="B8" s="4" t="n">
        <f aca="false">SUM(DoiSoat!E2:E31)</f>
        <v>269289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1" min="10" style="0" width="18"/>
  </cols>
  <sheetData>
    <row r="1" customFormat="false" ht="31.5" hidden="false" customHeight="tru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customFormat="false" ht="15" hidden="false" customHeight="false" outlineLevel="0" collapsed="false">
      <c r="A2" s="2" t="s">
        <v>88</v>
      </c>
      <c r="B2" s="6" t="n">
        <v>180</v>
      </c>
      <c r="C2" s="6" t="n">
        <v>320</v>
      </c>
      <c r="D2" s="6" t="n">
        <v>150</v>
      </c>
      <c r="E2" s="6" t="n">
        <v>120</v>
      </c>
      <c r="F2" s="7" t="n">
        <f aca="false">SUM(B2:E2)</f>
        <v>770</v>
      </c>
      <c r="G2" s="6" t="n">
        <v>310</v>
      </c>
      <c r="H2" s="6" t="n">
        <v>520</v>
      </c>
      <c r="I2" s="7" t="n">
        <f aca="false">F2-G2-H2</f>
        <v>-60</v>
      </c>
      <c r="J2" s="8" t="s">
        <v>89</v>
      </c>
      <c r="K2" s="5" t="n">
        <f aca="false">G2/F2</f>
        <v>0.402597402597403</v>
      </c>
    </row>
    <row r="3" customFormat="false" ht="15" hidden="false" customHeight="false" outlineLevel="0" collapsed="false">
      <c r="A3" s="2" t="s">
        <v>90</v>
      </c>
      <c r="B3" s="6" t="n">
        <v>190</v>
      </c>
      <c r="C3" s="6" t="n">
        <v>330</v>
      </c>
      <c r="D3" s="6" t="n">
        <v>160</v>
      </c>
      <c r="E3" s="6" t="n">
        <v>125</v>
      </c>
      <c r="F3" s="7" t="n">
        <f aca="false">SUM(B3:E3)</f>
        <v>805</v>
      </c>
      <c r="G3" s="6" t="n">
        <v>320</v>
      </c>
      <c r="H3" s="6" t="n">
        <v>540</v>
      </c>
      <c r="I3" s="7" t="n">
        <f aca="false">F3-G3-H3</f>
        <v>-55</v>
      </c>
      <c r="J3" s="8" t="n">
        <f aca="false">F3/F2-1</f>
        <v>0.0454545454545454</v>
      </c>
      <c r="K3" s="5" t="n">
        <f aca="false">G3/F3</f>
        <v>0.397515527950311</v>
      </c>
    </row>
    <row r="4" customFormat="false" ht="15" hidden="false" customHeight="false" outlineLevel="0" collapsed="false">
      <c r="A4" s="2" t="s">
        <v>91</v>
      </c>
      <c r="B4" s="6" t="n">
        <v>175</v>
      </c>
      <c r="C4" s="6" t="n">
        <v>310</v>
      </c>
      <c r="D4" s="6" t="n">
        <v>140</v>
      </c>
      <c r="E4" s="6" t="n">
        <v>118</v>
      </c>
      <c r="F4" s="7" t="n">
        <f aca="false">SUM(B4:E4)</f>
        <v>743</v>
      </c>
      <c r="G4" s="6" t="n">
        <v>300</v>
      </c>
      <c r="H4" s="6" t="n">
        <v>520</v>
      </c>
      <c r="I4" s="7" t="n">
        <f aca="false">F4-G4-H4</f>
        <v>-77</v>
      </c>
      <c r="J4" s="8" t="n">
        <f aca="false">F4/F3-1</f>
        <v>-0.0770186335403726</v>
      </c>
      <c r="K4" s="5" t="n">
        <f aca="false">G4/F4</f>
        <v>0.403768506056528</v>
      </c>
    </row>
    <row r="5" customFormat="false" ht="15" hidden="false" customHeight="false" outlineLevel="0" collapsed="false">
      <c r="A5" s="2" t="s">
        <v>92</v>
      </c>
      <c r="B5" s="6" t="n">
        <v>200</v>
      </c>
      <c r="C5" s="6" t="n">
        <v>340</v>
      </c>
      <c r="D5" s="6" t="n">
        <v>230</v>
      </c>
      <c r="E5" s="6" t="n">
        <v>130</v>
      </c>
      <c r="F5" s="7" t="n">
        <f aca="false">SUM(B5:E5)</f>
        <v>900</v>
      </c>
      <c r="G5" s="6" t="n">
        <v>350</v>
      </c>
      <c r="H5" s="6" t="n">
        <v>540</v>
      </c>
      <c r="I5" s="7" t="n">
        <f aca="false">F5-G5-H5</f>
        <v>10</v>
      </c>
      <c r="J5" s="8" t="n">
        <f aca="false">F5/F4-1</f>
        <v>0.211305518169583</v>
      </c>
      <c r="K5" s="5" t="n">
        <f aca="false">G5/F5</f>
        <v>0.388888888888889</v>
      </c>
    </row>
    <row r="6" customFormat="false" ht="15" hidden="false" customHeight="false" outlineLevel="0" collapsed="false">
      <c r="A6" s="2" t="s">
        <v>93</v>
      </c>
      <c r="B6" s="6" t="n">
        <v>210</v>
      </c>
      <c r="C6" s="6" t="n">
        <v>350</v>
      </c>
      <c r="D6" s="6" t="n">
        <v>260</v>
      </c>
      <c r="E6" s="6" t="n">
        <v>135</v>
      </c>
      <c r="F6" s="7" t="n">
        <f aca="false">SUM(B6:E6)</f>
        <v>955</v>
      </c>
      <c r="G6" s="6" t="n">
        <v>370</v>
      </c>
      <c r="H6" s="6" t="n">
        <v>560</v>
      </c>
      <c r="I6" s="7" t="n">
        <f aca="false">F6-G6-H6</f>
        <v>25</v>
      </c>
      <c r="J6" s="8" t="n">
        <f aca="false">F6/F5-1</f>
        <v>0.0611111111111111</v>
      </c>
      <c r="K6" s="5" t="n">
        <f aca="false">G6/F6</f>
        <v>0.387434554973822</v>
      </c>
    </row>
    <row r="7" customFormat="false" ht="15" hidden="false" customHeight="false" outlineLevel="0" collapsed="false">
      <c r="A7" s="2" t="s">
        <v>94</v>
      </c>
      <c r="B7" s="6" t="n">
        <v>345</v>
      </c>
      <c r="C7" s="6" t="n">
        <v>355</v>
      </c>
      <c r="D7" s="6" t="n">
        <v>262</v>
      </c>
      <c r="E7" s="6" t="n">
        <v>136</v>
      </c>
      <c r="F7" s="7" t="n">
        <f aca="false">SUM(B7:E7)</f>
        <v>1098</v>
      </c>
      <c r="G7" s="6" t="n">
        <v>410</v>
      </c>
      <c r="H7" s="6" t="n">
        <v>640</v>
      </c>
      <c r="I7" s="7" t="n">
        <f aca="false">F7-G7-H7</f>
        <v>48</v>
      </c>
      <c r="J7" s="8" t="n">
        <f aca="false">F7/F6-1</f>
        <v>0.149738219895288</v>
      </c>
      <c r="K7" s="5" t="n">
        <f aca="false">G7/F7</f>
        <v>0.373406193078324</v>
      </c>
    </row>
    <row r="9" customFormat="false" ht="15" hidden="false" customHeight="false" outlineLevel="0" collapsed="false">
      <c r="A9" s="9" t="s">
        <v>95</v>
      </c>
    </row>
    <row r="10" customFormat="false" ht="15" hidden="false" customHeight="false" outlineLevel="0" collapsed="false">
      <c r="A10" s="10" t="s">
        <v>96</v>
      </c>
    </row>
    <row r="11" customFormat="false" ht="15" hidden="false" customHeight="false" outlineLevel="0" collapsed="false">
      <c r="A11" s="10" t="s">
        <v>97</v>
      </c>
    </row>
    <row r="12" customFormat="false" ht="15" hidden="false" customHeight="false" outlineLevel="0" collapsed="false">
      <c r="A12" s="1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46"/>
  </cols>
  <sheetData>
    <row r="1" customFormat="false" ht="31.5" hidden="false" customHeight="true" outlineLevel="0" collapsed="false">
      <c r="A1" s="1" t="s">
        <v>99</v>
      </c>
      <c r="B1" s="1" t="s">
        <v>100</v>
      </c>
      <c r="C1" s="1" t="s">
        <v>101</v>
      </c>
      <c r="D1" s="1" t="s">
        <v>102</v>
      </c>
    </row>
    <row r="2" customFormat="false" ht="26.85" hidden="false" customHeight="false" outlineLevel="0" collapsed="false">
      <c r="A2" s="11" t="s">
        <v>103</v>
      </c>
      <c r="B2" s="11" t="s">
        <v>104</v>
      </c>
      <c r="C2" s="12" t="s">
        <v>105</v>
      </c>
      <c r="D2" s="11" t="s">
        <v>106</v>
      </c>
    </row>
    <row r="3" customFormat="false" ht="26.85" hidden="false" customHeight="false" outlineLevel="0" collapsed="false">
      <c r="A3" s="11" t="s">
        <v>107</v>
      </c>
      <c r="B3" s="11" t="s">
        <v>0</v>
      </c>
      <c r="C3" s="12" t="s">
        <v>108</v>
      </c>
      <c r="D3" s="11" t="s">
        <v>6</v>
      </c>
    </row>
    <row r="4" customFormat="false" ht="15" hidden="false" customHeight="false" outlineLevel="0" collapsed="false">
      <c r="A4" s="11" t="s">
        <v>107</v>
      </c>
      <c r="B4" s="11" t="s">
        <v>1</v>
      </c>
      <c r="C4" s="12" t="s">
        <v>109</v>
      </c>
      <c r="D4" s="11" t="s">
        <v>110</v>
      </c>
    </row>
    <row r="5" customFormat="false" ht="26.85" hidden="false" customHeight="false" outlineLevel="0" collapsed="false">
      <c r="A5" s="11" t="s">
        <v>107</v>
      </c>
      <c r="B5" s="11" t="s">
        <v>2</v>
      </c>
      <c r="C5" s="12" t="s">
        <v>111</v>
      </c>
      <c r="D5" s="11" t="s">
        <v>7</v>
      </c>
    </row>
    <row r="6" customFormat="false" ht="15" hidden="false" customHeight="false" outlineLevel="0" collapsed="false">
      <c r="A6" s="11" t="s">
        <v>107</v>
      </c>
      <c r="B6" s="11" t="s">
        <v>112</v>
      </c>
      <c r="C6" s="12" t="s">
        <v>113</v>
      </c>
      <c r="D6" s="11" t="s">
        <v>114</v>
      </c>
    </row>
    <row r="7" customFormat="false" ht="15" hidden="false" customHeight="false" outlineLevel="0" collapsed="false">
      <c r="A7" s="11" t="s">
        <v>107</v>
      </c>
      <c r="B7" s="11" t="s">
        <v>115</v>
      </c>
      <c r="C7" s="12" t="s">
        <v>116</v>
      </c>
      <c r="D7" s="11" t="s">
        <v>117</v>
      </c>
    </row>
    <row r="8" customFormat="false" ht="15" hidden="false" customHeight="false" outlineLevel="0" collapsed="false">
      <c r="A8" s="11" t="s">
        <v>107</v>
      </c>
      <c r="B8" s="11" t="s">
        <v>5</v>
      </c>
      <c r="C8" s="12" t="s">
        <v>118</v>
      </c>
      <c r="D8" s="11" t="s">
        <v>8</v>
      </c>
    </row>
    <row r="9" customFormat="false" ht="15" hidden="false" customHeight="false" outlineLevel="0" collapsed="false">
      <c r="A9" s="11" t="s">
        <v>119</v>
      </c>
      <c r="B9" s="11" t="s">
        <v>120</v>
      </c>
      <c r="C9" s="12" t="n">
        <f aca="false">COUNTA(GiaoDich!A2:A31)</f>
        <v>30</v>
      </c>
      <c r="D9" s="11" t="s">
        <v>121</v>
      </c>
    </row>
    <row r="10" customFormat="false" ht="15" hidden="false" customHeight="false" outlineLevel="0" collapsed="false">
      <c r="A10" s="11" t="s">
        <v>119</v>
      </c>
      <c r="B10" s="11" t="s">
        <v>122</v>
      </c>
      <c r="C10" s="12" t="n">
        <f aca="false">COUNTA(GiaoDich!A1:F1)</f>
        <v>6</v>
      </c>
      <c r="D10" s="1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5" min="4" style="0" width="40"/>
  </cols>
  <sheetData>
    <row r="1" customFormat="false" ht="31.5" hidden="false" customHeight="true" outlineLevel="0" collapsed="false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</row>
    <row r="2" customFormat="false" ht="39.55" hidden="false" customHeight="false" outlineLevel="0" collapsed="false">
      <c r="A2" s="11" t="n">
        <v>1</v>
      </c>
      <c r="B2" s="11" t="s">
        <v>129</v>
      </c>
      <c r="C2" s="11" t="s">
        <v>130</v>
      </c>
      <c r="D2" s="11" t="s">
        <v>131</v>
      </c>
      <c r="E2" s="11" t="s">
        <v>132</v>
      </c>
    </row>
    <row r="3" customFormat="false" ht="39.55" hidden="false" customHeight="false" outlineLevel="0" collapsed="false">
      <c r="A3" s="11" t="n">
        <v>2</v>
      </c>
      <c r="B3" s="11" t="s">
        <v>133</v>
      </c>
      <c r="C3" s="11" t="s">
        <v>134</v>
      </c>
      <c r="D3" s="11" t="s">
        <v>135</v>
      </c>
      <c r="E3" s="11" t="s">
        <v>136</v>
      </c>
    </row>
    <row r="4" customFormat="false" ht="39.55" hidden="false" customHeight="false" outlineLevel="0" collapsed="false">
      <c r="A4" s="11" t="n">
        <v>3</v>
      </c>
      <c r="B4" s="11" t="s">
        <v>137</v>
      </c>
      <c r="C4" s="11" t="s">
        <v>138</v>
      </c>
      <c r="D4" s="11" t="s">
        <v>139</v>
      </c>
      <c r="E4" s="11" t="s">
        <v>140</v>
      </c>
    </row>
    <row r="5" customFormat="false" ht="39.55" hidden="false" customHeight="false" outlineLevel="0" collapsed="false">
      <c r="A5" s="11" t="n">
        <v>4</v>
      </c>
      <c r="B5" s="11" t="s">
        <v>141</v>
      </c>
      <c r="C5" s="11" t="s">
        <v>142</v>
      </c>
      <c r="D5" s="11" t="s">
        <v>143</v>
      </c>
      <c r="E5" s="1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2026-10-27T10:08:05Z</dcterms:created>
  <dc:creator>openpyxl</dc:creator>
  <dc:description/>
  <dc:language>en-US</dc:language>
  <cp:lastModifiedBy/>
  <dcterms:modified xsi:type="dcterms:W3CDTF">2026-10-27T10:08:05Z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